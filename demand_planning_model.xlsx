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AND_MODEL" sheetId="1" state="visible" r:id="rId3"/>
    <sheet name="CONTAINER_PLAN" sheetId="2" state="visible" r:id="rId4"/>
    <sheet name="CONFIG" sheetId="3" state="visible" r:id="rId5"/>
    <sheet name="SALES_DATA" sheetId="4" state="visible" r:id="rId6"/>
    <sheet name="INVENTORY" sheetId="5" state="visible" r:id="rId7"/>
    <sheet name="PO_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<sst xmlns="http://schemas.openxmlformats.org/spreadsheetml/2006/main" count="2445" uniqueCount="222">
  <si>
    <t xml:space="preserve">DEMAND PLANNING MODEL — Live Dashboard (all cells update automatically)</t>
  </si>
  <si>
    <t xml:space="preserve">CRITICAL SKUs</t>
  </si>
  <si>
    <t xml:space="preserve">REORDER NOW</t>
  </si>
  <si>
    <t xml:space="preserve">HEALTHY</t>
  </si>
  <si>
    <t xml:space="preserve">OVERSTOCK</t>
  </si>
  <si>
    <t xml:space="preserve">AVG DOS (WTD)</t>
  </si>
  <si>
    <t xml:space="preserve">NEAREST OOS DATE</t>
  </si>
  <si>
    <t xml:space="preserve">TOTAL WH UNITS</t>
  </si>
  <si>
    <t xml:space="preserve">TOTAL PIPELINE</t>
  </si>
  <si>
    <t xml:space="preserve">TOTAL IN-TRANSIT</t>
  </si>
  <si>
    <t xml:space="preserve">OPEN PO UNITS</t>
  </si>
  <si>
    <t xml:space="preserve">TOTAL POSITION</t>
  </si>
  <si>
    <t xml:space="preserve">LAST REFRESHED</t>
  </si>
  <si>
    <t xml:space="preserve">IDENTIFIER</t>
  </si>
  <si>
    <t xml:space="preserve">SALES VELOCITY</t>
  </si>
  <si>
    <t xml:space="preserve">INVENTORY LEVELS</t>
  </si>
  <si>
    <t xml:space="preserve">PACK</t>
  </si>
  <si>
    <t xml:space="preserve">DAYS OF STOCK (WH)</t>
  </si>
  <si>
    <t xml:space="preserve">TARGETS</t>
  </si>
  <si>
    <t xml:space="preserve">OOS DATES</t>
  </si>
  <si>
    <t xml:space="preserve">NEXT PO</t>
  </si>
  <si>
    <t xml:space="preserve">REORDER CALCULATION</t>
  </si>
  <si>
    <t xml:space="preserve">STATUS</t>
  </si>
  <si>
    <t xml:space="preserve">KPIs</t>
  </si>
  <si>
    <t xml:space="preserve">CONTAINER PLANNING (40FT)</t>
  </si>
  <si>
    <t xml:space="preserve">SKU ID</t>
  </si>
  <si>
    <t xml:space="preserve">SKU Name</t>
  </si>
  <si>
    <t xml:space="preserve">Category</t>
  </si>
  <si>
    <t xml:space="preserve">7D Avg Daily</t>
  </si>
  <si>
    <t xml:space="preserve">30D Avg Daily</t>
  </si>
  <si>
    <t xml:space="preserve">90D Avg Daily</t>
  </si>
  <si>
    <t xml:space="preserve">Wtd Avg Daily</t>
  </si>
  <si>
    <t xml:space="preserve">WH Available</t>
  </si>
  <si>
    <t xml:space="preserve">Pipeline Units</t>
  </si>
  <si>
    <t xml:space="preserve">In Transit</t>
  </si>
  <si>
    <t xml:space="preserve">Total Position</t>
  </si>
  <si>
    <t xml:space="preserve">Case Pack</t>
  </si>
  <si>
    <t xml:space="preserve">DOS — 7D</t>
  </si>
  <si>
    <t xml:space="preserve">DOS — 30D</t>
  </si>
  <si>
    <t xml:space="preserve">DOS — 90D</t>
  </si>
  <si>
    <t xml:space="preserve">DOS — Wtd</t>
  </si>
  <si>
    <t xml:space="preserve">Buffer Stock (u)</t>
  </si>
  <si>
    <t xml:space="preserve">Annualised Dem.</t>
  </si>
  <si>
    <t xml:space="preserve">OOS Date (WH)</t>
  </si>
  <si>
    <t xml:space="preserve">OOS Date (Total)</t>
  </si>
  <si>
    <t xml:space="preserve">Next PO Arrival</t>
  </si>
  <si>
    <t xml:space="preserve">Next PO Units</t>
  </si>
  <si>
    <t xml:space="preserve">New OOS Post-PO</t>
  </si>
  <si>
    <t xml:space="preserve">Inv. Needed</t>
  </si>
  <si>
    <t xml:space="preserve">Inv. Gap (Total)</t>
  </si>
  <si>
    <t xml:space="preserve">Open PO Units</t>
  </si>
  <si>
    <t xml:space="preserve">Net Gap (After POs)</t>
  </si>
  <si>
    <t xml:space="preserve">Rec. PO Qty (Cases)</t>
  </si>
  <si>
    <t xml:space="preserve">Stock Health</t>
  </si>
  <si>
    <t xml:space="preserve">Inv. Turnover</t>
  </si>
  <si>
    <t xml:space="preserve">Weeks of Cover</t>
  </si>
  <si>
    <t xml:space="preserve">PO Urgency (0-1)</t>
  </si>
  <si>
    <t xml:space="preserve">Overstock Flag</t>
  </si>
  <si>
    <t xml:space="preserve">CBM / Unit</t>
  </si>
  <si>
    <t xml:space="preserve">CBM / Case Pack</t>
  </si>
  <si>
    <t xml:space="preserve">Rec. PO Units</t>
  </si>
  <si>
    <t xml:space="preserve">Total CBM (PO)</t>
  </si>
  <si>
    <t xml:space="preserve">40ft Containers Req.</t>
  </si>
  <si>
    <t xml:space="preserve">Container Fill %</t>
  </si>
  <si>
    <t xml:space="preserve">Units / Container</t>
  </si>
  <si>
    <t xml:space="preserve">Weight Check (kg)</t>
  </si>
  <si>
    <t xml:space="preserve">SKU-001</t>
  </si>
  <si>
    <t xml:space="preserve">SKU-002</t>
  </si>
  <si>
    <t xml:space="preserve">SKU-003</t>
  </si>
  <si>
    <t xml:space="preserve">SKU-004</t>
  </si>
  <si>
    <t xml:space="preserve">SKU-005</t>
  </si>
  <si>
    <t xml:space="preserve">SKU-006</t>
  </si>
  <si>
    <t xml:space="preserve">SKU-007</t>
  </si>
  <si>
    <t xml:space="preserve">SKU-008</t>
  </si>
  <si>
    <t xml:space="preserve">CONTAINER PLANNING DASHBOARD — 40ft Standard Container Optimisation</t>
  </si>
  <si>
    <t xml:space="preserve">TOTAL CONTAINERS NEEDED</t>
  </si>
  <si>
    <t xml:space="preserve">TOTAL CBM (ALL POs)</t>
  </si>
  <si>
    <t xml:space="preserve">AVG CONTAINER FILL %</t>
  </si>
  <si>
    <t xml:space="preserve">USABLE CBM / CONTAINER</t>
  </si>
  <si>
    <t xml:space="preserve">LOAD EFFICIENCY FACTOR</t>
  </si>
  <si>
    <t xml:space="preserve">GROSS VOLUME / CONTAINER</t>
  </si>
  <si>
    <t xml:space="preserve">  SKU DIMENSION &amp; VOLUME REFERENCE</t>
  </si>
  <si>
    <t xml:space="preserve">Length (cm)</t>
  </si>
  <si>
    <t xml:space="preserve">Breadth (cm)</t>
  </si>
  <si>
    <t xml:space="preserve">Height (cm)</t>
  </si>
  <si>
    <t xml:space="preserve">Rec. PO (Cases)</t>
  </si>
  <si>
    <t xml:space="preserve">Rec. PO (Units)</t>
  </si>
  <si>
    <t xml:space="preserve">Total CBM</t>
  </si>
  <si>
    <t xml:space="preserve">Containers Req.</t>
  </si>
  <si>
    <t xml:space="preserve">Fill %</t>
  </si>
  <si>
    <t xml:space="preserve">Weight Est. (kg)</t>
  </si>
  <si>
    <t xml:space="preserve">  CONTAINER FILL BREAKDOWN — How CBM is distributed across containers per SKU</t>
  </si>
  <si>
    <t xml:space="preserve">Container 1 CBM</t>
  </si>
  <si>
    <t xml:space="preserve">Container 1 Fill%</t>
  </si>
  <si>
    <t xml:space="preserve">Container 2 CBM</t>
  </si>
  <si>
    <t xml:space="preserve">Container 2 Fill%</t>
  </si>
  <si>
    <t xml:space="preserve">Remaining CBM</t>
  </si>
  <si>
    <t xml:space="preserve">Remaining Fill%</t>
  </si>
  <si>
    <t xml:space="preserve">Can Consolidate?</t>
  </si>
  <si>
    <t xml:space="preserve">CBM Saved if Consolidated</t>
  </si>
  <si>
    <t xml:space="preserve">Containers Before</t>
  </si>
  <si>
    <t xml:space="preserve">Containers After Consol.</t>
  </si>
  <si>
    <t xml:space="preserve">Units Saved / Container</t>
  </si>
  <si>
    <t xml:space="preserve">Notes</t>
  </si>
  <si>
    <t xml:space="preserve">Update LBH in CONFIG to recalculate</t>
  </si>
  <si>
    <t xml:space="preserve">DEMAND PLANNING MODEL — Configuration &amp; Master Data</t>
  </si>
  <si>
    <t xml:space="preserve">  LEAD TIMES</t>
  </si>
  <si>
    <t xml:space="preserve">Supplier production lead time</t>
  </si>
  <si>
    <t xml:space="preserve">days</t>
  </si>
  <si>
    <t xml:space="preserve">Supplier to origin port</t>
  </si>
  <si>
    <t xml:space="preserve">Port to port (ocean transit)</t>
  </si>
  <si>
    <t xml:space="preserve">Port to destination warehouse</t>
  </si>
  <si>
    <t xml:space="preserve">Warehouse receiving &amp; putaway</t>
  </si>
  <si>
    <t xml:space="preserve">Total lead time</t>
  </si>
  <si>
    <t xml:space="preserve">days — DO NOT EDIT</t>
  </si>
  <si>
    <t xml:space="preserve">Reorder review cycle</t>
  </si>
  <si>
    <t xml:space="preserve">  STOCK POLICY</t>
  </si>
  <si>
    <t xml:space="preserve">Buffer / safety stock (days)</t>
  </si>
  <si>
    <t xml:space="preserve">days — adjust per client</t>
  </si>
  <si>
    <t xml:space="preserve">Overstock threshold (days)</t>
  </si>
  <si>
    <t xml:space="preserve">DOS above = overstock</t>
  </si>
  <si>
    <t xml:space="preserve">Critical stock threshold (days)</t>
  </si>
  <si>
    <t xml:space="preserve">same as buffer</t>
  </si>
  <si>
    <t xml:space="preserve">Reorder trigger (days)</t>
  </si>
  <si>
    <t xml:space="preserve">total lead time + buffer</t>
  </si>
  <si>
    <t xml:space="preserve">Target days of stock</t>
  </si>
  <si>
    <t xml:space="preserve">planning target</t>
  </si>
  <si>
    <t xml:space="preserve">  SALES VELOCITY WEIGHTS</t>
  </si>
  <si>
    <t xml:space="preserve">7-day weight  (recent trend)</t>
  </si>
  <si>
    <t xml:space="preserve">50%</t>
  </si>
  <si>
    <t xml:space="preserve">30-day weight (medium-term)</t>
  </si>
  <si>
    <t xml:space="preserve">30%</t>
  </si>
  <si>
    <t xml:space="preserve">90-day weight (smooths outliers)</t>
  </si>
  <si>
    <t xml:space="preserve">20%</t>
  </si>
  <si>
    <t xml:space="preserve">Validation — must total 100%</t>
  </si>
  <si>
    <t xml:space="preserve">must = 100%</t>
  </si>
  <si>
    <t xml:space="preserve">  SKU MASTER TABLE</t>
  </si>
  <si>
    <t xml:space="preserve">SKU_ID</t>
  </si>
  <si>
    <t xml:space="preserve">SKU_Name</t>
  </si>
  <si>
    <t xml:space="preserve">Case_Pack</t>
  </si>
  <si>
    <t xml:space="preserve">Min_Order_Qty</t>
  </si>
  <si>
    <t xml:space="preserve">Supplier</t>
  </si>
  <si>
    <t xml:space="preserve">Lead_Time_Override</t>
  </si>
  <si>
    <t xml:space="preserve">Active</t>
  </si>
  <si>
    <t xml:space="preserve">Length_cm</t>
  </si>
  <si>
    <t xml:space="preserve">Breadth_cm</t>
  </si>
  <si>
    <t xml:space="preserve">Height_cm</t>
  </si>
  <si>
    <t xml:space="preserve">CBM_per_Unit</t>
  </si>
  <si>
    <t xml:space="preserve">CBM_per_CasePack</t>
  </si>
  <si>
    <t xml:space="preserve">Wireless Earbuds</t>
  </si>
  <si>
    <t xml:space="preserve">TechSupply Co</t>
  </si>
  <si>
    <t xml:space="preserve">Electronics</t>
  </si>
  <si>
    <t xml:space="preserve">Yes</t>
  </si>
  <si>
    <t xml:space="preserve">Running Shoes</t>
  </si>
  <si>
    <t xml:space="preserve">FootwearPro</t>
  </si>
  <si>
    <t xml:space="preserve">Apparel</t>
  </si>
  <si>
    <t xml:space="preserve">Water Bottle</t>
  </si>
  <si>
    <t xml:space="preserve">HomeGoods Ltd</t>
  </si>
  <si>
    <t xml:space="preserve">Home</t>
  </si>
  <si>
    <t xml:space="preserve">Yoga Mat</t>
  </si>
  <si>
    <t xml:space="preserve">SportSupply</t>
  </si>
  <si>
    <t xml:space="preserve">Fitness</t>
  </si>
  <si>
    <t xml:space="preserve">Phone Case</t>
  </si>
  <si>
    <t xml:space="preserve">Backpack</t>
  </si>
  <si>
    <t xml:space="preserve">TravelGear Inc</t>
  </si>
  <si>
    <t xml:space="preserve">Bags</t>
  </si>
  <si>
    <t xml:space="preserve">Sunglasses</t>
  </si>
  <si>
    <t xml:space="preserve">StyleCo</t>
  </si>
  <si>
    <t xml:space="preserve">Accessories</t>
  </si>
  <si>
    <t xml:space="preserve">Laptop Stand</t>
  </si>
  <si>
    <t xml:space="preserve">OfficeSupply</t>
  </si>
  <si>
    <t xml:space="preserve">Office</t>
  </si>
  <si>
    <t xml:space="preserve">  CONTAINER SPECIFICATIONS (40FT STANDARD)</t>
  </si>
  <si>
    <t xml:space="preserve">40ft container — gross internal volume (CBM)</t>
  </si>
  <si>
    <t xml:space="preserve">m³ — L 12.03 × W 2.35 × H 2.39</t>
  </si>
  <si>
    <t xml:space="preserve">Load efficiency factor</t>
  </si>
  <si>
    <t xml:space="preserve">% — accounts for packing gaps</t>
  </si>
  <si>
    <t xml:space="preserve">40ft usable volume (CBM)</t>
  </si>
  <si>
    <t xml:space="preserve">m³ — effective capacity</t>
  </si>
  <si>
    <t xml:space="preserve">Max gross weight (kg)</t>
  </si>
  <si>
    <t xml:space="preserve">kg — standard 40ft payload</t>
  </si>
  <si>
    <t xml:space="preserve">SALES DATA — Raw transaction log. Newest rows at top. Add rows here.</t>
  </si>
  <si>
    <t xml:space="preserve">Date</t>
  </si>
  <si>
    <t xml:space="preserve">Units_Sold</t>
  </si>
  <si>
    <t xml:space="preserve">Channel</t>
  </si>
  <si>
    <t xml:space="preserve">B2B</t>
  </si>
  <si>
    <t xml:space="preserve">Direct</t>
  </si>
  <si>
    <t xml:space="preserve">Amazon</t>
  </si>
  <si>
    <t xml:space="preserve">Wholesale</t>
  </si>
  <si>
    <t xml:space="preserve">Retail</t>
  </si>
  <si>
    <t xml:space="preserve">INVENTORY SNAPSHOT — Update from WMS/ERP. Case pack auto-fills from CONFIG.</t>
  </si>
  <si>
    <t xml:space="preserve">WH_Available</t>
  </si>
  <si>
    <t xml:space="preserve">Pipeline_Units</t>
  </si>
  <si>
    <t xml:space="preserve">In_Transit_Units</t>
  </si>
  <si>
    <t xml:space="preserve">In_Transit_Expected</t>
  </si>
  <si>
    <t xml:space="preserve">Pipeline_Expected</t>
  </si>
  <si>
    <t xml:space="preserve">Last_Updated</t>
  </si>
  <si>
    <t xml:space="preserve">PO-001 in production</t>
  </si>
  <si>
    <t xml:space="preserve">Healthy — PO-005 received</t>
  </si>
  <si>
    <t xml:space="preserve">Strong — pipeline incoming</t>
  </si>
  <si>
    <t xml:space="preserve">Critical — PO-002 in ocean transit</t>
  </si>
  <si>
    <t xml:space="preserve">Healthy — strong position</t>
  </si>
  <si>
    <t xml:space="preserve">Critical — in-transit arriving D+4</t>
  </si>
  <si>
    <t xml:space="preserve">Monitor — PO-006 in production</t>
  </si>
  <si>
    <t xml:space="preserve">Reorder — PO-004 at warehouse D+1</t>
  </si>
  <si>
    <t xml:space="preserve">PURCHASE ORDER LOG — Add new POs in columns A–F only. All other columns auto-calculate.</t>
  </si>
  <si>
    <t xml:space="preserve">PO_Number</t>
  </si>
  <si>
    <t xml:space="preserve">Units_Ordered</t>
  </si>
  <si>
    <t xml:space="preserve">Case_Packs</t>
  </si>
  <si>
    <t xml:space="preserve">Order_Date</t>
  </si>
  <si>
    <t xml:space="preserve">Production_Complete</t>
  </si>
  <si>
    <t xml:space="preserve">Origin_Port_Depart</t>
  </si>
  <si>
    <t xml:space="preserve">Dest_Port_Arrival</t>
  </si>
  <si>
    <t xml:space="preserve">WH_Arrival</t>
  </si>
  <si>
    <t xml:space="preserve">Available_To_Sell</t>
  </si>
  <si>
    <t xml:space="preserve">Status</t>
  </si>
  <si>
    <t xml:space="preserve">PO-001</t>
  </si>
  <si>
    <t xml:space="preserve">PO-002</t>
  </si>
  <si>
    <t xml:space="preserve">PO-003</t>
  </si>
  <si>
    <t xml:space="preserve">PO-004</t>
  </si>
  <si>
    <t xml:space="preserve">PO-005</t>
  </si>
  <si>
    <t xml:space="preserve">PO-006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</si>
</sst>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"/>
    <numFmt numFmtId="166" formatCode="yyyy\-mm\-dd"/>
    <numFmt numFmtId="167" formatCode="0.0"/>
    <numFmt numFmtId="168" formatCode="#,##0"/>
    <numFmt numFmtId="169" formatCode="0.0\x"/>
    <numFmt numFmtId="170" formatCode="0.00"/>
    <numFmt numFmtId="171" formatCode="0.000000"/>
    <numFmt numFmtId="172" formatCode="0.0000"/>
    <numFmt numFmtId="173" formatCode="0.0%"/>
    <numFmt numFmtId="174" formatCode="#,##0.00"/>
    <numFmt numFmtId="175" formatCode="General"/>
    <numFmt numFmtId="17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3"/>
      <color rgb="FF1F2D3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64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b val="true"/>
      <sz val="13"/>
      <color rgb="FF1C3D5A"/>
      <name val="Arial"/>
      <family val="0"/>
      <charset val="1"/>
    </font>
    <font>
      <b val="true"/>
      <sz val="13"/>
      <color rgb="FF7B5500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000000"/>
      <name val="Arial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1F2D3D"/>
        <bgColor rgb="FF1C3D5A"/>
      </patternFill>
    </fill>
    <fill>
      <patternFill patternType="solid">
        <fgColor rgb="FFFF6B6B"/>
        <bgColor rgb="FFFFA07A"/>
      </patternFill>
    </fill>
    <fill>
      <patternFill patternType="solid">
        <fgColor rgb="FFFFA07A"/>
        <bgColor rgb="FFDDA0DD"/>
      </patternFill>
    </fill>
    <fill>
      <patternFill patternType="solid">
        <fgColor rgb="FF90EE90"/>
        <bgColor rgb="FF98D8C8"/>
      </patternFill>
    </fill>
    <fill>
      <patternFill patternType="solid">
        <fgColor rgb="FF87CEEB"/>
        <bgColor rgb="FF98D8C8"/>
      </patternFill>
    </fill>
    <fill>
      <patternFill patternType="solid">
        <fgColor rgb="FFDDA0DD"/>
        <bgColor rgb="FFCCCCCC"/>
      </patternFill>
    </fill>
    <fill>
      <patternFill patternType="solid">
        <fgColor rgb="FFF0E68C"/>
        <bgColor rgb="FFFDEBD0"/>
      </patternFill>
    </fill>
    <fill>
      <patternFill patternType="solid">
        <fgColor rgb="FFFFFFFF"/>
        <bgColor rgb="FFF4F6F8"/>
      </patternFill>
    </fill>
    <fill>
      <patternFill patternType="solid">
        <fgColor rgb="FFB0C4DE"/>
        <bgColor rgb="FFCCCCCC"/>
      </patternFill>
    </fill>
    <fill>
      <patternFill patternType="solid">
        <fgColor rgb="FF98D8C8"/>
        <bgColor rgb="FF87CEEB"/>
      </patternFill>
    </fill>
    <fill>
      <patternFill patternType="solid">
        <fgColor rgb="FFD3D3D3"/>
        <bgColor rgb="FFCCCCCC"/>
      </patternFill>
    </fill>
    <fill>
      <patternFill patternType="solid">
        <fgColor rgb="FF3D5A80"/>
        <bgColor rgb="FF34495E"/>
      </patternFill>
    </fill>
    <fill>
      <patternFill patternType="solid">
        <fgColor rgb="FF1A6B3C"/>
        <bgColor rgb="FF1E8449"/>
      </patternFill>
    </fill>
    <fill>
      <patternFill patternType="solid">
        <fgColor rgb="FF7B3F00"/>
        <bgColor rgb="FF8B4513"/>
      </patternFill>
    </fill>
    <fill>
      <patternFill patternType="solid">
        <fgColor rgb="FF555555"/>
        <bgColor rgb="FF3D5A80"/>
      </patternFill>
    </fill>
    <fill>
      <patternFill patternType="solid">
        <fgColor rgb="FF8B4513"/>
        <bgColor rgb="FF7B3F00"/>
      </patternFill>
    </fill>
    <fill>
      <patternFill patternType="solid">
        <fgColor rgb="FF8B0000"/>
        <bgColor rgb="FF7B3F00"/>
      </patternFill>
    </fill>
    <fill>
      <patternFill patternType="solid">
        <fgColor rgb="FF004080"/>
        <bgColor rgb="FF154360"/>
      </patternFill>
    </fill>
    <fill>
      <patternFill patternType="solid">
        <fgColor rgb="FF4B0082"/>
        <bgColor rgb="FF000080"/>
      </patternFill>
    </fill>
    <fill>
      <patternFill patternType="solid">
        <fgColor rgb="FF006400"/>
        <bgColor rgb="FF1A6B3C"/>
      </patternFill>
    </fill>
    <fill>
      <patternFill patternType="solid">
        <fgColor rgb="FF1C6B7A"/>
        <bgColor rgb="FF1A6B3C"/>
      </patternFill>
    </fill>
    <fill>
      <patternFill patternType="solid">
        <fgColor rgb="FF1C3D5A"/>
        <bgColor rgb="FF154360"/>
      </patternFill>
    </fill>
    <fill>
      <patternFill patternType="solid">
        <fgColor rgb="FFEBF3FF"/>
        <bgColor rgb="FFE8F4F8"/>
      </patternFill>
    </fill>
    <fill>
      <patternFill patternType="solid">
        <fgColor rgb="FFEAFAF1"/>
        <bgColor rgb="FFE8F4F8"/>
      </patternFill>
    </fill>
    <fill>
      <patternFill patternType="solid">
        <fgColor rgb="FFFDEBD0"/>
        <bgColor rgb="FFFFF8E1"/>
      </patternFill>
    </fill>
    <fill>
      <patternFill patternType="solid">
        <fgColor rgb="FFD5F5E3"/>
        <bgColor rgb="FFD6EAF8"/>
      </patternFill>
    </fill>
    <fill>
      <patternFill patternType="solid">
        <fgColor rgb="FFE8F4F8"/>
        <bgColor rgb="FFEBF3FF"/>
      </patternFill>
    </fill>
    <fill>
      <patternFill patternType="solid">
        <fgColor rgb="FFF4F6F8"/>
        <bgColor rgb="FFF2F3F4"/>
      </patternFill>
    </fill>
    <fill>
      <patternFill patternType="solid">
        <fgColor rgb="FFFFF8E1"/>
        <bgColor rgb="FFF4F6F8"/>
      </patternFill>
    </fill>
    <fill>
      <patternFill patternType="solid">
        <fgColor rgb="FF2C3E50"/>
        <bgColor rgb="FF1C3D5A"/>
      </patternFill>
    </fill>
    <fill>
      <patternFill patternType="solid">
        <fgColor rgb="FF34495E"/>
        <bgColor rgb="FF2C3E5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3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0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0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C0392B"/>
        <sz val="10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A04000"/>
        <sz val="10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  <sz val="10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154360"/>
        <sz val="10"/>
      </font>
      <fill>
        <patternFill>
          <bgColor rgb="FFD6EAF8"/>
        </patternFill>
      </fill>
    </dxf>
    <dxf>
      <font>
        <name val="Arial"/>
        <charset val="1"/>
        <family val="0"/>
        <b val="1"/>
        <color rgb="FF808080"/>
        <sz val="10"/>
      </font>
      <fill>
        <patternFill>
          <bgColor rgb="FFF2F3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EBD0"/>
      <rgbColor rgb="FFFF00FF"/>
      <rgbColor rgb="FFE8F4F8"/>
      <rgbColor rgb="FF8B0000"/>
      <rgbColor rgb="FF006400"/>
      <rgbColor rgb="FF00008B"/>
      <rgbColor rgb="FF7B5500"/>
      <rgbColor rgb="FF8B4513"/>
      <rgbColor rgb="FF1C6B7A"/>
      <rgbColor rgb="FFCCCCCC"/>
      <rgbColor rgb="FF808080"/>
      <rgbColor rgb="FFB0C4DE"/>
      <rgbColor rgb="FFA23B72"/>
      <rgbColor rgb="FFFFF8E1"/>
      <rgbColor rgb="FFD6EAF8"/>
      <rgbColor rgb="FF4B0082"/>
      <rgbColor rgb="FFFF6B6B"/>
      <rgbColor rgb="FF1A6B3C"/>
      <rgbColor rgb="FFD3D3D3"/>
      <rgbColor rgb="FF000080"/>
      <rgbColor rgb="FFFF00FF"/>
      <rgbColor rgb="FFF2F3F4"/>
      <rgbColor rgb="FFEBF3FF"/>
      <rgbColor rgb="FF555555"/>
      <rgbColor rgb="FF7B3F00"/>
      <rgbColor rgb="FF2E86AB"/>
      <rgbColor rgb="FF0000FF"/>
      <rgbColor rgb="FF00CCFF"/>
      <rgbColor rgb="FFEAFAF1"/>
      <rgbColor rgb="FFD5F5E3"/>
      <rgbColor rgb="FFF0E68C"/>
      <rgbColor rgb="FF87CEEB"/>
      <rgbColor rgb="FFFFA07A"/>
      <rgbColor rgb="FFDDA0DD"/>
      <rgbColor rgb="FFFADBD8"/>
      <rgbColor rgb="FF34495E"/>
      <rgbColor rgb="FF98D8C8"/>
      <rgbColor rgb="FF90EE90"/>
      <rgbColor rgb="FFF4F6F8"/>
      <rgbColor rgb="FFF18F01"/>
      <rgbColor rgb="FFC73E1D"/>
      <rgbColor rgb="FF3D5A80"/>
      <rgbColor rgb="FF888888"/>
      <rgbColor rgb="FF004080"/>
      <rgbColor rgb="FF1E8449"/>
      <rgbColor rgb="FF154360"/>
      <rgbColor rgb="FF2C3E50"/>
      <rgbColor rgb="FFA04000"/>
      <rgbColor rgb="FFC0392B"/>
      <rgbColor rgb="FF1C3D5A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D3D"/>
    <pageSetUpPr fitToPage="false"/>
  </sheetPr>
  <dimension ref="A1:A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7" min="4" style="1" width="13"/>
    <col collapsed="false" customWidth="true" hidden="false" outlineLevel="0" max="9" min="8" style="1" width="14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6" min="12" style="1" width="11"/>
    <col collapsed="false" customWidth="true" hidden="false" outlineLevel="0" max="19" min="17" style="1" width="14"/>
    <col collapsed="false" customWidth="true" hidden="false" outlineLevel="0" max="21" min="20" style="1" width="15"/>
    <col collapsed="false" customWidth="true" hidden="false" outlineLevel="0" max="22" min="22" style="1" width="13"/>
    <col collapsed="false" customWidth="true" hidden="false" outlineLevel="0" max="23" min="23" style="1" width="15"/>
    <col collapsed="false" customWidth="true" hidden="false" outlineLevel="0" max="24" min="24" style="1" width="13"/>
    <col collapsed="false" customWidth="true" hidden="false" outlineLevel="0" max="25" min="25" style="1" width="14"/>
    <col collapsed="false" customWidth="true" hidden="false" outlineLevel="0" max="26" min="26" style="1" width="13"/>
    <col collapsed="false" customWidth="true" hidden="false" outlineLevel="0" max="28" min="27" style="1" width="16"/>
    <col collapsed="false" customWidth="true" hidden="false" outlineLevel="0" max="29" min="29" style="1" width="14"/>
    <col collapsed="false" customWidth="true" hidden="false" outlineLevel="0" max="31" min="30" style="1" width="13"/>
    <col collapsed="false" customWidth="true" hidden="false" outlineLevel="0" max="32" min="32" style="1" width="14"/>
    <col collapsed="false" customWidth="true" hidden="false" outlineLevel="0" max="33" min="33" style="1" width="13"/>
    <col collapsed="false" customWidth="true" hidden="false" outlineLevel="0" max="34" min="34" style="0" width="12"/>
    <col collapsed="false" customWidth="true" hidden="false" outlineLevel="0" max="35" min="35" style="0" width="14"/>
    <col collapsed="false" customWidth="true" hidden="false" outlineLevel="0" max="37" min="36" style="0" width="13"/>
    <col collapsed="false" customWidth="true" hidden="false" outlineLevel="0" max="38" min="38" style="0" width="16"/>
    <col collapsed="false" customWidth="true" hidden="false" outlineLevel="0" max="41" min="39" style="0" width="14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5.75" hidden="false" customHeight="true" outlineLevel="0" collapsed="false">
      <c r="A2" s="3" t="s">
        <v>1</v>
      </c>
      <c r="B2" s="3"/>
      <c r="C2" s="4" t="s">
        <v>2</v>
      </c>
      <c r="D2" s="4"/>
      <c r="E2" s="5" t="s">
        <v>3</v>
      </c>
      <c r="F2" s="5"/>
      <c r="G2" s="6" t="s">
        <v>4</v>
      </c>
      <c r="H2" s="6"/>
      <c r="I2" s="7" t="s">
        <v>5</v>
      </c>
      <c r="J2" s="7"/>
      <c r="K2" s="8" t="s">
        <v>6</v>
      </c>
      <c r="L2" s="8"/>
    </row>
    <row r="3" customFormat="false" ht="27.75" hidden="false" customHeight="true" outlineLevel="0" collapsed="false">
      <c r="A3" s="9" t="n">
        <f aca="false">COUNTIF(AC9:AC16,"CRITICAL")</f>
        <v>4</v>
      </c>
      <c r="B3" s="9"/>
      <c r="C3" s="9" t="n">
        <f aca="false">COUNTIF(AC9:AC16,"REORDER NOW")</f>
        <v>4</v>
      </c>
      <c r="D3" s="9"/>
      <c r="E3" s="9" t="n">
        <f aca="false">COUNTIF(AC9:AC16,"HEALTHY")</f>
        <v>0</v>
      </c>
      <c r="F3" s="9"/>
      <c r="G3" s="9" t="n">
        <f aca="false">COUNTIF(AC9:AC16,"OVERSTOCK")</f>
        <v>0</v>
      </c>
      <c r="H3" s="9"/>
      <c r="I3" s="9" t="n">
        <f aca="false">IFERROR(ROUND(AVERAGEIFS(P9:P16,G9:G16,"&gt;"&amp;0,P9:P16,"&lt;"&amp;9000),1),0)</f>
        <v>22.2</v>
      </c>
      <c r="J3" s="9"/>
      <c r="K3" s="10" t="str">
        <f aca="false">IFERROR(TEXT(MIN(T9:T16),"YYYY-MM-DD"),"N/A")</f>
        <v>2026-04-19</v>
      </c>
      <c r="L3" s="10"/>
    </row>
    <row r="4" customFormat="false" ht="15.75" hidden="false" customHeight="true" outlineLevel="0" collapsed="false">
      <c r="A4" s="11" t="s">
        <v>7</v>
      </c>
      <c r="B4" s="11"/>
      <c r="C4" s="11" t="s">
        <v>8</v>
      </c>
      <c r="D4" s="11"/>
      <c r="E4" s="11" t="s">
        <v>9</v>
      </c>
      <c r="F4" s="11"/>
      <c r="G4" s="11" t="s">
        <v>10</v>
      </c>
      <c r="H4" s="11"/>
      <c r="I4" s="12" t="s">
        <v>11</v>
      </c>
      <c r="J4" s="12"/>
      <c r="K4" s="13" t="s">
        <v>12</v>
      </c>
      <c r="L4" s="13"/>
    </row>
    <row r="5" customFormat="false" ht="27.75" hidden="false" customHeight="true" outlineLevel="0" collapsed="false">
      <c r="A5" s="9" t="n">
        <f aca="false">SUM(H9:H16)</f>
        <v>1013</v>
      </c>
      <c r="B5" s="9"/>
      <c r="C5" s="9" t="n">
        <f aca="false">SUM(I9:I16)</f>
        <v>320</v>
      </c>
      <c r="D5" s="9"/>
      <c r="E5" s="9" t="n">
        <f aca="false">SUM(J9:J16)</f>
        <v>10</v>
      </c>
      <c r="F5" s="9"/>
      <c r="G5" s="9" t="n">
        <f aca="false">SUMIF(PO_LOG!$L:$L,"&lt;&gt;Received",PO_LOG!$D:$D)</f>
        <v>252</v>
      </c>
      <c r="H5" s="9"/>
      <c r="I5" s="9" t="n">
        <f aca="false">SUM(K9:K16)</f>
        <v>1343</v>
      </c>
      <c r="J5" s="9"/>
      <c r="K5" s="10" t="n">
        <f aca="true">TODAY()</f>
        <v>46123</v>
      </c>
      <c r="L5" s="10"/>
    </row>
    <row r="6" customFormat="false" ht="7.5" hidden="false" customHeight="true" outlineLevel="0" collapsed="false"/>
    <row r="7" customFormat="false" ht="13.5" hidden="false" customHeight="true" outlineLevel="0" collapsed="false">
      <c r="A7" s="14" t="s">
        <v>13</v>
      </c>
      <c r="B7" s="14"/>
      <c r="C7" s="14"/>
      <c r="D7" s="15" t="s">
        <v>14</v>
      </c>
      <c r="E7" s="15"/>
      <c r="F7" s="15"/>
      <c r="G7" s="15"/>
      <c r="H7" s="16" t="s">
        <v>15</v>
      </c>
      <c r="I7" s="16"/>
      <c r="J7" s="16"/>
      <c r="K7" s="16"/>
      <c r="L7" s="17" t="s">
        <v>16</v>
      </c>
      <c r="M7" s="18" t="s">
        <v>17</v>
      </c>
      <c r="N7" s="18"/>
      <c r="O7" s="18"/>
      <c r="P7" s="18"/>
      <c r="Q7" s="19" t="s">
        <v>18</v>
      </c>
      <c r="R7" s="19"/>
      <c r="S7" s="20" t="s">
        <v>19</v>
      </c>
      <c r="T7" s="20"/>
      <c r="U7" s="21" t="s">
        <v>20</v>
      </c>
      <c r="V7" s="21"/>
      <c r="W7" s="21"/>
      <c r="X7" s="22" t="s">
        <v>21</v>
      </c>
      <c r="Y7" s="22"/>
      <c r="Z7" s="22"/>
      <c r="AA7" s="22"/>
      <c r="AB7" s="22"/>
      <c r="AC7" s="23" t="s">
        <v>22</v>
      </c>
      <c r="AD7" s="24" t="s">
        <v>23</v>
      </c>
      <c r="AE7" s="24"/>
      <c r="AF7" s="24"/>
      <c r="AG7" s="24"/>
      <c r="AH7" s="25" t="s">
        <v>24</v>
      </c>
      <c r="AI7" s="25"/>
      <c r="AJ7" s="25"/>
      <c r="AK7" s="25"/>
      <c r="AL7" s="25"/>
      <c r="AM7" s="25"/>
      <c r="AN7" s="25"/>
      <c r="AO7" s="25"/>
    </row>
    <row r="8" customFormat="false" ht="30" hidden="false" customHeight="true" outlineLevel="0" collapsed="false">
      <c r="A8" s="26" t="s">
        <v>25</v>
      </c>
      <c r="B8" s="26" t="s">
        <v>26</v>
      </c>
      <c r="C8" s="26" t="s">
        <v>27</v>
      </c>
      <c r="D8" s="26" t="s">
        <v>28</v>
      </c>
      <c r="E8" s="26" t="s">
        <v>29</v>
      </c>
      <c r="F8" s="26" t="s">
        <v>30</v>
      </c>
      <c r="G8" s="26" t="s">
        <v>31</v>
      </c>
      <c r="H8" s="26" t="s">
        <v>32</v>
      </c>
      <c r="I8" s="26" t="s">
        <v>33</v>
      </c>
      <c r="J8" s="26" t="s">
        <v>34</v>
      </c>
      <c r="K8" s="26" t="s">
        <v>35</v>
      </c>
      <c r="L8" s="26" t="s">
        <v>36</v>
      </c>
      <c r="M8" s="26" t="s">
        <v>37</v>
      </c>
      <c r="N8" s="26" t="s">
        <v>38</v>
      </c>
      <c r="O8" s="26" t="s">
        <v>39</v>
      </c>
      <c r="P8" s="26" t="s">
        <v>40</v>
      </c>
      <c r="Q8" s="26" t="s">
        <v>41</v>
      </c>
      <c r="R8" s="26" t="s">
        <v>42</v>
      </c>
      <c r="S8" s="26" t="s">
        <v>43</v>
      </c>
      <c r="T8" s="26" t="s">
        <v>44</v>
      </c>
      <c r="U8" s="26" t="s">
        <v>45</v>
      </c>
      <c r="V8" s="26" t="s">
        <v>46</v>
      </c>
      <c r="W8" s="26" t="s">
        <v>47</v>
      </c>
      <c r="X8" s="26" t="s">
        <v>48</v>
      </c>
      <c r="Y8" s="26" t="s">
        <v>49</v>
      </c>
      <c r="Z8" s="26" t="s">
        <v>50</v>
      </c>
      <c r="AA8" s="26" t="s">
        <v>51</v>
      </c>
      <c r="AB8" s="26" t="s">
        <v>52</v>
      </c>
      <c r="AC8" s="26" t="s">
        <v>53</v>
      </c>
      <c r="AD8" s="26" t="s">
        <v>54</v>
      </c>
      <c r="AE8" s="26" t="s">
        <v>55</v>
      </c>
      <c r="AF8" s="26" t="s">
        <v>56</v>
      </c>
      <c r="AG8" s="26" t="s">
        <v>57</v>
      </c>
      <c r="AH8" s="27" t="s">
        <v>58</v>
      </c>
      <c r="AI8" s="27" t="s">
        <v>59</v>
      </c>
      <c r="AJ8" s="27" t="s">
        <v>60</v>
      </c>
      <c r="AK8" s="27" t="s">
        <v>61</v>
      </c>
      <c r="AL8" s="27" t="s">
        <v>62</v>
      </c>
      <c r="AM8" s="27" t="s">
        <v>63</v>
      </c>
      <c r="AN8" s="27" t="s">
        <v>64</v>
      </c>
      <c r="AO8" s="27" t="s">
        <v>65</v>
      </c>
    </row>
    <row r="9" customFormat="false" ht="15" hidden="false" customHeight="true" outlineLevel="0" collapsed="false">
      <c r="A9" s="28" t="s">
        <v>66</v>
      </c>
      <c r="B9" s="29" t="str">
        <f aca="false">IFERROR(VLOOKUP(A9,CONFIG!$A$27:$H$34,2,0),"?")</f>
        <v>Wireless Earbuds</v>
      </c>
      <c r="C9" s="30" t="str">
        <f aca="false">IFERROR(VLOOKUP(A9,CONFIG!$A$27:$H$34,7,0),"?")</f>
        <v>Electronics</v>
      </c>
      <c r="D9" s="31" t="n">
        <f aca="true">IFERROR(SUMIFS(SALES_DATA!$D:$D,SALES_DATA!$B:$B,A9,SALES_DATA!$A:$A,"&gt;="&amp;(TODAY()-7))/7,0)</f>
        <v>5.57142857142857</v>
      </c>
      <c r="E9" s="31" t="n">
        <f aca="true">IFERROR(SUMIFS(SALES_DATA!$D:$D,SALES_DATA!$B:$B,A9,SALES_DATA!$A:$A,"&gt;="&amp;(TODAY()-30))/30,0)</f>
        <v>5.13333333333333</v>
      </c>
      <c r="F9" s="31" t="n">
        <f aca="true">IFERROR(SUMIFS(SALES_DATA!$D:$D,SALES_DATA!$B:$B,A9,SALES_DATA!$A:$A,"&gt;="&amp;(TODAY()-90))/90,0)</f>
        <v>5</v>
      </c>
      <c r="G9" s="32" t="n">
        <f aca="false">IFERROR(D9*CONFIG!$B$20+E9*CONFIG!$B$21+F9*CONFIG!$B$22,0)</f>
        <v>5.32571428571429</v>
      </c>
      <c r="H9" s="33" t="n">
        <f aca="false">IFERROR(VLOOKUP(A9,INVENTORY!$A:$C,3,0),0)</f>
        <v>45</v>
      </c>
      <c r="I9" s="33" t="n">
        <f aca="false">IFERROR(VLOOKUP(A9,INVENTORY!$A:$D,4,0),0)</f>
        <v>0</v>
      </c>
      <c r="J9" s="33" t="n">
        <f aca="false">IFERROR(VLOOKUP(A9,INVENTORY!$A:$E,5,0),0)</f>
        <v>0</v>
      </c>
      <c r="K9" s="34" t="n">
        <f aca="false">H9+I9+J9</f>
        <v>45</v>
      </c>
      <c r="L9" s="33" t="n">
        <f aca="false">IFERROR(VLOOKUP(A9,CONFIG!$A$27:$H$34,3,0),1)</f>
        <v>6</v>
      </c>
      <c r="M9" s="35" t="n">
        <f aca="false">IFERROR(H9/D9,9999)</f>
        <v>8.07692307692308</v>
      </c>
      <c r="N9" s="35" t="n">
        <f aca="false">IFERROR(H9/E9,9999)</f>
        <v>8.76623376623377</v>
      </c>
      <c r="O9" s="35" t="n">
        <f aca="false">IFERROR(H9/F9,9999)</f>
        <v>9</v>
      </c>
      <c r="P9" s="36" t="n">
        <f aca="false">IFERROR(H9/G9,9999)</f>
        <v>8.44957081545064</v>
      </c>
      <c r="Q9" s="37" t="n">
        <f aca="false">IFERROR(G9*CONFIG!$B$13,0)</f>
        <v>79.8857142857143</v>
      </c>
      <c r="R9" s="37" t="n">
        <f aca="false">IFERROR(G9*365,0)</f>
        <v>1943.88571428571</v>
      </c>
      <c r="S9" s="38" t="n">
        <f aca="true">IFERROR(TODAY()+P9,TODAY())</f>
        <v>46131.4495708155</v>
      </c>
      <c r="T9" s="39" t="n">
        <f aca="true">IFERROR(TODAY()+IFERROR(K9/G9,9999),TODAY())</f>
        <v>46131.4495708155</v>
      </c>
      <c r="U9" s="40" t="str">
        <f aca="false">IFERROR(minifs(PO_LOG!$K:$K,PO_LOG!$B:$B,A9,PO_LOG!$K:$K,"&gt;"&amp;TODAY()),"No open PO")</f>
        <v>No open PO</v>
      </c>
      <c r="V9" s="37" t="n">
        <f aca="false">IFERROR(IF(U9="No open PO",0,SUMIFS(PO_LOG!$D:$D,PO_LOG!$B:$B,A9,PO_LOG!$K:$K,U9)),0)</f>
        <v>0</v>
      </c>
      <c r="W9" s="39" t="n">
        <f aca="false">IFERROR(IF(U9="No open PO",T9,U9+(H9+V9)/G9),T9)</f>
        <v>46131.4495708155</v>
      </c>
      <c r="X9" s="37" t="n">
        <f aca="false">IFERROR(G9*(CONFIG!$B$9+CONFIG!$B$13),0)</f>
        <v>463.337142857143</v>
      </c>
      <c r="Y9" s="37" t="n">
        <f aca="false">IFERROR(MAX(0,X9-K9),0)</f>
        <v>418.337142857143</v>
      </c>
      <c r="Z9" s="33" t="n">
        <f aca="false">IFERROR(SUMIFS(PO_LOG!$D:$D,PO_LOG!$B:$B,A9,PO_LOG!$L:$L,"&lt;&gt;Received"),0)</f>
        <v>120</v>
      </c>
      <c r="AA9" s="41" t="n">
        <f aca="false">IFERROR(MAX(0,Y9-Z9),0)</f>
        <v>298.337142857143</v>
      </c>
      <c r="AB9" s="34" t="n">
        <f aca="false">IFERROR(IF(AA9=0,0,MAX(CEILING(AA9,L9),IFERROR(VLOOKUP(A9,CONFIG!$A$27:$H$34,4,0),0))),0)</f>
        <v>300</v>
      </c>
      <c r="AC9" s="42" t="str">
        <f aca="false">IF(P9&gt;=9000,"No Sales",IF(P9&lt;CONFIG!$B$13,"CRITICAL",IF(P9&lt;CONFIG!$B$16,"REORDER NOW",IF(P9&gt;CONFIG!$B$14,"OVERSTOCK","HEALTHY"))))</f>
        <v>CRITICAL</v>
      </c>
      <c r="AD9" s="43" t="n">
        <f aca="false">IFERROR(R9/MAX(H9,1),0)</f>
        <v>43.1974603174603</v>
      </c>
      <c r="AE9" s="31" t="n">
        <f aca="false">IFERROR(IFERROR(K9/G9,0)/7,0)</f>
        <v>1.20708154506438</v>
      </c>
      <c r="AF9" s="44" t="n">
        <f aca="false">IFERROR(MAX(0,MIN(1,(CONFIG!$B$16-P9)/CONFIG!$B$16)),0)</f>
        <v>0.902878496374131</v>
      </c>
      <c r="AG9" s="45" t="str">
        <f aca="false">IF(P9&gt;CONFIG!$B$14,"YES","")</f>
        <v/>
      </c>
      <c r="AH9" s="46" t="n">
        <f aca="false">IFERROR(VLOOKUP(A9,CONFIG!$A$27:$M$34,12,0),0)</f>
        <v>0.0012</v>
      </c>
      <c r="AI9" s="47" t="n">
        <f aca="false">IFERROR(VLOOKUP(A9,CONFIG!$A$27:$M$34,13,0),0)</f>
        <v>0.0072</v>
      </c>
      <c r="AJ9" s="34" t="n">
        <f aca="false">IFERROR(AB9*L9,0)</f>
        <v>1800</v>
      </c>
      <c r="AK9" s="48" t="n">
        <f aca="false">IFERROR(AJ9*AH9,0)</f>
        <v>2.16</v>
      </c>
      <c r="AL9" s="49" t="n">
        <f aca="false">IFERROR(CEILING(AK9/CONFIG!$B$40,1),0)</f>
        <v>1</v>
      </c>
      <c r="AM9" s="50" t="n">
        <f aca="false">IFERROR(IF(AL9=0,0,AK9/(AL9*CONFIG!$B$40)),0)</f>
        <v>0.0376470588235294</v>
      </c>
      <c r="AN9" s="37" t="n">
        <f aca="false">IFERROR(IF(AH9=0,0,FLOOR(CONFIG!$B$40/AH9,L9)),0)</f>
        <v>47808</v>
      </c>
      <c r="AO9" s="37" t="n">
        <f aca="false">IFERROR(AK9*200,0)</f>
        <v>432</v>
      </c>
    </row>
    <row r="10" customFormat="false" ht="15" hidden="false" customHeight="true" outlineLevel="0" collapsed="false">
      <c r="A10" s="51" t="s">
        <v>67</v>
      </c>
      <c r="B10" s="52" t="str">
        <f aca="false">IFERROR(VLOOKUP(A10,CONFIG!$A$27:$H$34,2,0),"?")</f>
        <v>Running Shoes</v>
      </c>
      <c r="C10" s="53" t="str">
        <f aca="false">IFERROR(VLOOKUP(A10,CONFIG!$A$27:$H$34,7,0),"?")</f>
        <v>Apparel</v>
      </c>
      <c r="D10" s="54" t="n">
        <f aca="true">IFERROR(SUMIFS(SALES_DATA!$D:$D,SALES_DATA!$B:$B,A10,SALES_DATA!$A:$A,"&gt;="&amp;(TODAY()-7))/7,0)</f>
        <v>3.28571428571429</v>
      </c>
      <c r="E10" s="54" t="n">
        <f aca="true">IFERROR(SUMIFS(SALES_DATA!$D:$D,SALES_DATA!$B:$B,A10,SALES_DATA!$A:$A,"&gt;="&amp;(TODAY()-30))/30,0)</f>
        <v>3.06666666666667</v>
      </c>
      <c r="F10" s="54" t="n">
        <f aca="true">IFERROR(SUMIFS(SALES_DATA!$D:$D,SALES_DATA!$B:$B,A10,SALES_DATA!$A:$A,"&gt;="&amp;(TODAY()-90))/90,0)</f>
        <v>3</v>
      </c>
      <c r="G10" s="32" t="n">
        <f aca="false">IFERROR(D10*CONFIG!$B$20+E10*CONFIG!$B$21+F10*CONFIG!$B$22,0)</f>
        <v>3.16285714285714</v>
      </c>
      <c r="H10" s="55" t="n">
        <f aca="false">IFERROR(VLOOKUP(A10,INVENTORY!$A:$C,3,0),0)</f>
        <v>180</v>
      </c>
      <c r="I10" s="55" t="n">
        <f aca="false">IFERROR(VLOOKUP(A10,INVENTORY!$A:$D,4,0),0)</f>
        <v>0</v>
      </c>
      <c r="J10" s="55" t="n">
        <f aca="false">IFERROR(VLOOKUP(A10,INVENTORY!$A:$E,5,0),0)</f>
        <v>0</v>
      </c>
      <c r="K10" s="34" t="n">
        <f aca="false">H10+I10+J10</f>
        <v>180</v>
      </c>
      <c r="L10" s="55" t="n">
        <f aca="false">IFERROR(VLOOKUP(A10,CONFIG!$A$27:$H$34,3,0),1)</f>
        <v>4</v>
      </c>
      <c r="M10" s="56" t="n">
        <f aca="false">IFERROR(H10/D10,9999)</f>
        <v>54.7826086956522</v>
      </c>
      <c r="N10" s="56" t="n">
        <f aca="false">IFERROR(H10/E10,9999)</f>
        <v>58.695652173913</v>
      </c>
      <c r="O10" s="56" t="n">
        <f aca="false">IFERROR(H10/F10,9999)</f>
        <v>60</v>
      </c>
      <c r="P10" s="36" t="n">
        <f aca="false">IFERROR(H10/G10,9999)</f>
        <v>56.9105691056911</v>
      </c>
      <c r="Q10" s="57" t="n">
        <f aca="false">IFERROR(G10*CONFIG!$B$13,0)</f>
        <v>47.4428571428571</v>
      </c>
      <c r="R10" s="57" t="n">
        <f aca="false">IFERROR(G10*365,0)</f>
        <v>1154.44285714286</v>
      </c>
      <c r="S10" s="38" t="n">
        <f aca="true">IFERROR(TODAY()+P10,TODAY())</f>
        <v>46179.9105691057</v>
      </c>
      <c r="T10" s="39" t="n">
        <f aca="true">IFERROR(TODAY()+IFERROR(K10/G10,9999),TODAY())</f>
        <v>46179.9105691057</v>
      </c>
      <c r="U10" s="58" t="str">
        <f aca="false">IFERROR(minifs(PO_LOG!$K:$K,PO_LOG!$B:$B,A10,PO_LOG!$K:$K,"&gt;"&amp;TODAY()),"No open PO")</f>
        <v>No open PO</v>
      </c>
      <c r="V10" s="57" t="n">
        <f aca="false">IFERROR(IF(U10="No open PO",0,SUMIFS(PO_LOG!$D:$D,PO_LOG!$B:$B,A10,PO_LOG!$K:$K,U10)),0)</f>
        <v>0</v>
      </c>
      <c r="W10" s="39" t="n">
        <f aca="false">IFERROR(IF(U10="No open PO",T10,U10+(H10+V10)/G10),T10)</f>
        <v>46179.9105691057</v>
      </c>
      <c r="X10" s="57" t="n">
        <f aca="false">IFERROR(G10*(CONFIG!$B$9+CONFIG!$B$13),0)</f>
        <v>275.168571428571</v>
      </c>
      <c r="Y10" s="57" t="n">
        <f aca="false">IFERROR(MAX(0,X10-K10),0)</f>
        <v>95.1685714285714</v>
      </c>
      <c r="Z10" s="55" t="n">
        <f aca="false">IFERROR(SUMIFS(PO_LOG!$D:$D,PO_LOG!$B:$B,A10,PO_LOG!$L:$L,"&lt;&gt;Received"),0)</f>
        <v>0</v>
      </c>
      <c r="AA10" s="41" t="n">
        <f aca="false">IFERROR(MAX(0,Y10-Z10),0)</f>
        <v>95.1685714285714</v>
      </c>
      <c r="AB10" s="34" t="n">
        <f aca="false">IFERROR(IF(AA10=0,0,MAX(CEILING(AA10,L10),IFERROR(VLOOKUP(A10,CONFIG!$A$27:$H$34,4,0),0))),0)</f>
        <v>96</v>
      </c>
      <c r="AC10" s="42" t="str">
        <f aca="false">IF(P10&gt;=9000,"No Sales",IF(P10&lt;CONFIG!$B$13,"CRITICAL",IF(P10&lt;CONFIG!$B$16,"REORDER NOW",IF(P10&gt;CONFIG!$B$14,"OVERSTOCK","HEALTHY"))))</f>
        <v>REORDER NOW</v>
      </c>
      <c r="AD10" s="59" t="n">
        <f aca="false">IFERROR(R10/MAX(H10,1),0)</f>
        <v>6.41357142857143</v>
      </c>
      <c r="AE10" s="54" t="n">
        <f aca="false">IFERROR(IFERROR(K10/G10,0)/7,0)</f>
        <v>8.13008130081301</v>
      </c>
      <c r="AF10" s="60" t="n">
        <f aca="false">IFERROR(MAX(0,MIN(1,(CONFIG!$B$16-P10)/CONFIG!$B$16)),0)</f>
        <v>0.345855527520792</v>
      </c>
      <c r="AG10" s="61" t="str">
        <f aca="false">IF(P10&gt;CONFIG!$B$14,"YES","")</f>
        <v/>
      </c>
      <c r="AH10" s="62" t="n">
        <f aca="false">IFERROR(VLOOKUP(A10,CONFIG!$A$27:$M$34,12,0),0)</f>
        <v>0.01155</v>
      </c>
      <c r="AI10" s="63" t="n">
        <f aca="false">IFERROR(VLOOKUP(A10,CONFIG!$A$27:$M$34,13,0),0)</f>
        <v>0.0462</v>
      </c>
      <c r="AJ10" s="34" t="n">
        <f aca="false">IFERROR(AB10*L10,0)</f>
        <v>384</v>
      </c>
      <c r="AK10" s="48" t="n">
        <f aca="false">IFERROR(AJ10*AH10,0)</f>
        <v>4.4352</v>
      </c>
      <c r="AL10" s="49" t="n">
        <f aca="false">IFERROR(CEILING(AK10/CONFIG!$B$40,1),0)</f>
        <v>1</v>
      </c>
      <c r="AM10" s="50" t="n">
        <f aca="false">IFERROR(IF(AL10=0,0,AK10/(AL10*CONFIG!$B$40)),0)</f>
        <v>0.0773019607843137</v>
      </c>
      <c r="AN10" s="57" t="n">
        <f aca="false">IFERROR(IF(AH10=0,0,FLOOR(CONFIG!$B$40/AH10,L10)),0)</f>
        <v>4964</v>
      </c>
      <c r="AO10" s="57" t="n">
        <f aca="false">IFERROR(AK10*200,0)</f>
        <v>887.04</v>
      </c>
    </row>
    <row r="11" customFormat="false" ht="15" hidden="false" customHeight="true" outlineLevel="0" collapsed="false">
      <c r="A11" s="28" t="s">
        <v>68</v>
      </c>
      <c r="B11" s="29" t="str">
        <f aca="false">IFERROR(VLOOKUP(A11,CONFIG!$A$27:$H$34,2,0),"?")</f>
        <v>Water Bottle</v>
      </c>
      <c r="C11" s="30" t="str">
        <f aca="false">IFERROR(VLOOKUP(A11,CONFIG!$A$27:$H$34,7,0),"?")</f>
        <v>Home</v>
      </c>
      <c r="D11" s="31" t="n">
        <f aca="true">IFERROR(SUMIFS(SALES_DATA!$D:$D,SALES_DATA!$B:$B,A11,SALES_DATA!$A:$A,"&gt;="&amp;(TODAY()-7))/7,0)</f>
        <v>9</v>
      </c>
      <c r="E11" s="31" t="n">
        <f aca="true">IFERROR(SUMIFS(SALES_DATA!$D:$D,SALES_DATA!$B:$B,A11,SALES_DATA!$A:$A,"&gt;="&amp;(TODAY()-30))/30,0)</f>
        <v>8.23333333333333</v>
      </c>
      <c r="F11" s="31" t="n">
        <f aca="true">IFERROR(SUMIFS(SALES_DATA!$D:$D,SALES_DATA!$B:$B,A11,SALES_DATA!$A:$A,"&gt;="&amp;(TODAY()-90))/90,0)</f>
        <v>8</v>
      </c>
      <c r="G11" s="32" t="n">
        <f aca="false">IFERROR(D11*CONFIG!$B$20+E11*CONFIG!$B$21+F11*CONFIG!$B$22,0)</f>
        <v>8.57</v>
      </c>
      <c r="H11" s="33" t="n">
        <f aca="false">IFERROR(VLOOKUP(A11,INVENTORY!$A:$C,3,0),0)</f>
        <v>150</v>
      </c>
      <c r="I11" s="33" t="n">
        <f aca="false">IFERROR(VLOOKUP(A11,INVENTORY!$A:$D,4,0),0)</f>
        <v>120</v>
      </c>
      <c r="J11" s="33" t="n">
        <f aca="false">IFERROR(VLOOKUP(A11,INVENTORY!$A:$E,5,0),0)</f>
        <v>0</v>
      </c>
      <c r="K11" s="34" t="n">
        <f aca="false">H11+I11+J11</f>
        <v>270</v>
      </c>
      <c r="L11" s="33" t="n">
        <f aca="false">IFERROR(VLOOKUP(A11,CONFIG!$A$27:$H$34,3,0),1)</f>
        <v>12</v>
      </c>
      <c r="M11" s="35" t="n">
        <f aca="false">IFERROR(H11/D11,9999)</f>
        <v>16.6666666666667</v>
      </c>
      <c r="N11" s="35" t="n">
        <f aca="false">IFERROR(H11/E11,9999)</f>
        <v>18.2186234817814</v>
      </c>
      <c r="O11" s="35" t="n">
        <f aca="false">IFERROR(H11/F11,9999)</f>
        <v>18.75</v>
      </c>
      <c r="P11" s="36" t="n">
        <f aca="false">IFERROR(H11/G11,9999)</f>
        <v>17.5029171528588</v>
      </c>
      <c r="Q11" s="37" t="n">
        <f aca="false">IFERROR(G11*CONFIG!$B$13,0)</f>
        <v>128.55</v>
      </c>
      <c r="R11" s="37" t="n">
        <f aca="false">IFERROR(G11*365,0)</f>
        <v>3128.05</v>
      </c>
      <c r="S11" s="38" t="n">
        <f aca="true">IFERROR(TODAY()+P11,TODAY())</f>
        <v>46140.5029171529</v>
      </c>
      <c r="T11" s="39" t="n">
        <f aca="true">IFERROR(TODAY()+IFERROR(K11/G11,9999),TODAY())</f>
        <v>46154.5052508752</v>
      </c>
      <c r="U11" s="40" t="str">
        <f aca="false">IFERROR(minifs(PO_LOG!$K:$K,PO_LOG!$B:$B,A11,PO_LOG!$K:$K,"&gt;"&amp;TODAY()),"No open PO")</f>
        <v>No open PO</v>
      </c>
      <c r="V11" s="37" t="n">
        <f aca="false">IFERROR(IF(U11="No open PO",0,SUMIFS(PO_LOG!$D:$D,PO_LOG!$B:$B,A11,PO_LOG!$K:$K,U11)),0)</f>
        <v>0</v>
      </c>
      <c r="W11" s="39" t="n">
        <f aca="false">IFERROR(IF(U11="No open PO",T11,U11+(H11+V11)/G11),T11)</f>
        <v>46154.5052508752</v>
      </c>
      <c r="X11" s="37" t="n">
        <f aca="false">IFERROR(G11*(CONFIG!$B$9+CONFIG!$B$13),0)</f>
        <v>745.59</v>
      </c>
      <c r="Y11" s="37" t="n">
        <f aca="false">IFERROR(MAX(0,X11-K11),0)</f>
        <v>475.59</v>
      </c>
      <c r="Z11" s="33" t="n">
        <f aca="false">IFERROR(SUMIFS(PO_LOG!$D:$D,PO_LOG!$B:$B,A11,PO_LOG!$L:$L,"&lt;&gt;Received"),0)</f>
        <v>0</v>
      </c>
      <c r="AA11" s="41" t="n">
        <f aca="false">IFERROR(MAX(0,Y11-Z11),0)</f>
        <v>475.59</v>
      </c>
      <c r="AB11" s="34" t="n">
        <f aca="false">IFERROR(IF(AA11=0,0,MAX(CEILING(AA11,L11),IFERROR(VLOOKUP(A11,CONFIG!$A$27:$H$34,4,0),0))),0)</f>
        <v>480</v>
      </c>
      <c r="AC11" s="42" t="str">
        <f aca="false">IF(P11&gt;=9000,"No Sales",IF(P11&lt;CONFIG!$B$13,"CRITICAL",IF(P11&lt;CONFIG!$B$16,"REORDER NOW",IF(P11&gt;CONFIG!$B$14,"OVERSTOCK","HEALTHY"))))</f>
        <v>REORDER NOW</v>
      </c>
      <c r="AD11" s="43" t="n">
        <f aca="false">IFERROR(R11/MAX(H11,1),0)</f>
        <v>20.8536666666667</v>
      </c>
      <c r="AE11" s="31" t="n">
        <f aca="false">IFERROR(IFERROR(K11/G11,0)/7,0)</f>
        <v>4.50075012502084</v>
      </c>
      <c r="AF11" s="44" t="n">
        <f aca="false">IFERROR(MAX(0,MIN(1,(CONFIG!$B$16-P11)/CONFIG!$B$16)),0)</f>
        <v>0.798817044220014</v>
      </c>
      <c r="AG11" s="45" t="str">
        <f aca="false">IF(P11&gt;CONFIG!$B$14,"YES","")</f>
        <v/>
      </c>
      <c r="AH11" s="46" t="n">
        <f aca="false">IFERROR(VLOOKUP(A11,CONFIG!$A$27:$M$34,12,0),0)</f>
        <v>0.0028</v>
      </c>
      <c r="AI11" s="47" t="n">
        <f aca="false">IFERROR(VLOOKUP(A11,CONFIG!$A$27:$M$34,13,0),0)</f>
        <v>0.0336</v>
      </c>
      <c r="AJ11" s="34" t="n">
        <f aca="false">IFERROR(AB11*L11,0)</f>
        <v>5760</v>
      </c>
      <c r="AK11" s="48" t="n">
        <f aca="false">IFERROR(AJ11*AH11,0)</f>
        <v>16.128</v>
      </c>
      <c r="AL11" s="49" t="n">
        <f aca="false">IFERROR(CEILING(AK11/CONFIG!$B$40,1),0)</f>
        <v>1</v>
      </c>
      <c r="AM11" s="50" t="n">
        <f aca="false">IFERROR(IF(AL11=0,0,AK11/(AL11*CONFIG!$B$40)),0)</f>
        <v>0.281098039215686</v>
      </c>
      <c r="AN11" s="37" t="n">
        <f aca="false">IFERROR(IF(AH11=0,0,FLOOR(CONFIG!$B$40/AH11,L11)),0)</f>
        <v>20484</v>
      </c>
      <c r="AO11" s="37" t="n">
        <f aca="false">IFERROR(AK11*200,0)</f>
        <v>3225.6</v>
      </c>
    </row>
    <row r="12" customFormat="false" ht="15" hidden="false" customHeight="true" outlineLevel="0" collapsed="false">
      <c r="A12" s="51" t="s">
        <v>69</v>
      </c>
      <c r="B12" s="52" t="str">
        <f aca="false">IFERROR(VLOOKUP(A12,CONFIG!$A$27:$H$34,2,0),"?")</f>
        <v>Yoga Mat</v>
      </c>
      <c r="C12" s="53" t="str">
        <f aca="false">IFERROR(VLOOKUP(A12,CONFIG!$A$27:$H$34,7,0),"?")</f>
        <v>Fitness</v>
      </c>
      <c r="D12" s="54" t="n">
        <f aca="true">IFERROR(SUMIFS(SALES_DATA!$D:$D,SALES_DATA!$B:$B,A12,SALES_DATA!$A:$A,"&gt;="&amp;(TODAY()-7))/7,0)</f>
        <v>2.14285714285714</v>
      </c>
      <c r="E12" s="54" t="n">
        <f aca="true">IFERROR(SUMIFS(SALES_DATA!$D:$D,SALES_DATA!$B:$B,A12,SALES_DATA!$A:$A,"&gt;="&amp;(TODAY()-30))/30,0)</f>
        <v>2.03333333333333</v>
      </c>
      <c r="F12" s="54" t="n">
        <f aca="true">IFERROR(SUMIFS(SALES_DATA!$D:$D,SALES_DATA!$B:$B,A12,SALES_DATA!$A:$A,"&gt;="&amp;(TODAY()-90))/90,0)</f>
        <v>2</v>
      </c>
      <c r="G12" s="32" t="n">
        <f aca="false">IFERROR(D12*CONFIG!$B$20+E12*CONFIG!$B$21+F12*CONFIG!$B$22,0)</f>
        <v>2.08142857142857</v>
      </c>
      <c r="H12" s="55" t="n">
        <f aca="false">IFERROR(VLOOKUP(A12,INVENTORY!$A:$C,3,0),0)</f>
        <v>25</v>
      </c>
      <c r="I12" s="55" t="n">
        <f aca="false">IFERROR(VLOOKUP(A12,INVENTORY!$A:$D,4,0),0)</f>
        <v>0</v>
      </c>
      <c r="J12" s="55" t="n">
        <f aca="false">IFERROR(VLOOKUP(A12,INVENTORY!$A:$E,5,0),0)</f>
        <v>0</v>
      </c>
      <c r="K12" s="34" t="n">
        <f aca="false">H12+I12+J12</f>
        <v>25</v>
      </c>
      <c r="L12" s="55" t="n">
        <f aca="false">IFERROR(VLOOKUP(A12,CONFIG!$A$27:$H$34,3,0),1)</f>
        <v>10</v>
      </c>
      <c r="M12" s="56" t="n">
        <f aca="false">IFERROR(H12/D12,9999)</f>
        <v>11.6666666666667</v>
      </c>
      <c r="N12" s="56" t="n">
        <f aca="false">IFERROR(H12/E12,9999)</f>
        <v>12.2950819672131</v>
      </c>
      <c r="O12" s="56" t="n">
        <f aca="false">IFERROR(H12/F12,9999)</f>
        <v>12.5</v>
      </c>
      <c r="P12" s="36" t="n">
        <f aca="false">IFERROR(H12/G12,9999)</f>
        <v>12.0109814687714</v>
      </c>
      <c r="Q12" s="57" t="n">
        <f aca="false">IFERROR(G12*CONFIG!$B$13,0)</f>
        <v>31.2214285714286</v>
      </c>
      <c r="R12" s="57" t="n">
        <f aca="false">IFERROR(G12*365,0)</f>
        <v>759.721428571429</v>
      </c>
      <c r="S12" s="38" t="n">
        <f aca="true">IFERROR(TODAY()+P12,TODAY())</f>
        <v>46135.0109814688</v>
      </c>
      <c r="T12" s="39" t="n">
        <f aca="true">IFERROR(TODAY()+IFERROR(K12/G12,9999),TODAY())</f>
        <v>46135.0109814688</v>
      </c>
      <c r="U12" s="58" t="str">
        <f aca="false">IFERROR(minifs(PO_LOG!$K:$K,PO_LOG!$B:$B,A12,PO_LOG!$K:$K,"&gt;"&amp;TODAY()),"No open PO")</f>
        <v>No open PO</v>
      </c>
      <c r="V12" s="57" t="n">
        <f aca="false">IFERROR(IF(U12="No open PO",0,SUMIFS(PO_LOG!$D:$D,PO_LOG!$B:$B,A12,PO_LOG!$K:$K,U12)),0)</f>
        <v>0</v>
      </c>
      <c r="W12" s="39" t="n">
        <f aca="false">IFERROR(IF(U12="No open PO",T12,U12+(H12+V12)/G12),T12)</f>
        <v>46135.0109814688</v>
      </c>
      <c r="X12" s="57" t="n">
        <f aca="false">IFERROR(G12*(CONFIG!$B$9+CONFIG!$B$13),0)</f>
        <v>181.084285714286</v>
      </c>
      <c r="Y12" s="57" t="n">
        <f aca="false">IFERROR(MAX(0,X12-K12),0)</f>
        <v>156.084285714286</v>
      </c>
      <c r="Z12" s="55" t="n">
        <f aca="false">IFERROR(SUMIFS(PO_LOG!$D:$D,PO_LOG!$B:$B,A12,PO_LOG!$L:$L,"&lt;&gt;Received"),0)</f>
        <v>30</v>
      </c>
      <c r="AA12" s="41" t="n">
        <f aca="false">IFERROR(MAX(0,Y12-Z12),0)</f>
        <v>126.084285714286</v>
      </c>
      <c r="AB12" s="34" t="n">
        <f aca="false">IFERROR(IF(AA12=0,0,MAX(CEILING(AA12,L12),IFERROR(VLOOKUP(A12,CONFIG!$A$27:$H$34,4,0),0))),0)</f>
        <v>130</v>
      </c>
      <c r="AC12" s="42" t="str">
        <f aca="false">IF(P12&gt;=9000,"No Sales",IF(P12&lt;CONFIG!$B$13,"CRITICAL",IF(P12&lt;CONFIG!$B$16,"REORDER NOW",IF(P12&gt;CONFIG!$B$14,"OVERSTOCK","HEALTHY"))))</f>
        <v>CRITICAL</v>
      </c>
      <c r="AD12" s="59" t="n">
        <f aca="false">IFERROR(R12/MAX(H12,1),0)</f>
        <v>30.3888571428571</v>
      </c>
      <c r="AE12" s="54" t="n">
        <f aca="false">IFERROR(IFERROR(K12/G12,0)/7,0)</f>
        <v>1.71585449553878</v>
      </c>
      <c r="AF12" s="60" t="n">
        <f aca="false">IFERROR(MAX(0,MIN(1,(CONFIG!$B$16-P12)/CONFIG!$B$16)),0)</f>
        <v>0.861942741738259</v>
      </c>
      <c r="AG12" s="61" t="str">
        <f aca="false">IF(P12&gt;CONFIG!$B$14,"YES","")</f>
        <v/>
      </c>
      <c r="AH12" s="62" t="n">
        <f aca="false">IFERROR(VLOOKUP(A12,CONFIG!$A$27:$M$34,12,0),0)</f>
        <v>0.014625</v>
      </c>
      <c r="AI12" s="63" t="n">
        <f aca="false">IFERROR(VLOOKUP(A12,CONFIG!$A$27:$M$34,13,0),0)</f>
        <v>0.14625</v>
      </c>
      <c r="AJ12" s="34" t="n">
        <f aca="false">IFERROR(AB12*L12,0)</f>
        <v>1300</v>
      </c>
      <c r="AK12" s="48" t="n">
        <f aca="false">IFERROR(AJ12*AH12,0)</f>
        <v>19.0125</v>
      </c>
      <c r="AL12" s="49" t="n">
        <f aca="false">IFERROR(CEILING(AK12/CONFIG!$B$40,1),0)</f>
        <v>1</v>
      </c>
      <c r="AM12" s="50" t="n">
        <f aca="false">IFERROR(IF(AL12=0,0,AK12/(AL12*CONFIG!$B$40)),0)</f>
        <v>0.331372549019608</v>
      </c>
      <c r="AN12" s="57" t="n">
        <f aca="false">IFERROR(IF(AH12=0,0,FLOOR(CONFIG!$B$40/AH12,L12)),0)</f>
        <v>3920</v>
      </c>
      <c r="AO12" s="57" t="n">
        <f aca="false">IFERROR(AK12*200,0)</f>
        <v>3802.5</v>
      </c>
    </row>
    <row r="13" customFormat="false" ht="15" hidden="false" customHeight="true" outlineLevel="0" collapsed="false">
      <c r="A13" s="28" t="s">
        <v>70</v>
      </c>
      <c r="B13" s="29" t="str">
        <f aca="false">IFERROR(VLOOKUP(A13,CONFIG!$A$27:$H$34,2,0),"?")</f>
        <v>Phone Case</v>
      </c>
      <c r="C13" s="30" t="str">
        <f aca="false">IFERROR(VLOOKUP(A13,CONFIG!$A$27:$H$34,7,0),"?")</f>
        <v>Electronics</v>
      </c>
      <c r="D13" s="31" t="n">
        <f aca="true">IFERROR(SUMIFS(SALES_DATA!$D:$D,SALES_DATA!$B:$B,A13,SALES_DATA!$A:$A,"&gt;="&amp;(TODAY()-7))/7,0)</f>
        <v>13.5714285714286</v>
      </c>
      <c r="E13" s="31" t="n">
        <f aca="true">IFERROR(SUMIFS(SALES_DATA!$D:$D,SALES_DATA!$B:$B,A13,SALES_DATA!$A:$A,"&gt;="&amp;(TODAY()-30))/30,0)</f>
        <v>12.3666666666667</v>
      </c>
      <c r="F13" s="31" t="n">
        <f aca="true">IFERROR(SUMIFS(SALES_DATA!$D:$D,SALES_DATA!$B:$B,A13,SALES_DATA!$A:$A,"&gt;="&amp;(TODAY()-90))/90,0)</f>
        <v>12</v>
      </c>
      <c r="G13" s="32" t="n">
        <f aca="false">IFERROR(D13*CONFIG!$B$20+E13*CONFIG!$B$21+F13*CONFIG!$B$22,0)</f>
        <v>12.8957142857143</v>
      </c>
      <c r="H13" s="33" t="n">
        <f aca="false">IFERROR(VLOOKUP(A13,INVENTORY!$A:$C,3,0),0)</f>
        <v>500</v>
      </c>
      <c r="I13" s="33" t="n">
        <f aca="false">IFERROR(VLOOKUP(A13,INVENTORY!$A:$D,4,0),0)</f>
        <v>200</v>
      </c>
      <c r="J13" s="33" t="n">
        <f aca="false">IFERROR(VLOOKUP(A13,INVENTORY!$A:$E,5,0),0)</f>
        <v>0</v>
      </c>
      <c r="K13" s="34" t="n">
        <f aca="false">H13+I13+J13</f>
        <v>700</v>
      </c>
      <c r="L13" s="33" t="n">
        <f aca="false">IFERROR(VLOOKUP(A13,CONFIG!$A$27:$H$34,3,0),1)</f>
        <v>24</v>
      </c>
      <c r="M13" s="35" t="n">
        <f aca="false">IFERROR(H13/D13,9999)</f>
        <v>36.8421052631579</v>
      </c>
      <c r="N13" s="35" t="n">
        <f aca="false">IFERROR(H13/E13,9999)</f>
        <v>40.4312668463612</v>
      </c>
      <c r="O13" s="35" t="n">
        <f aca="false">IFERROR(H13/F13,9999)</f>
        <v>41.6666666666667</v>
      </c>
      <c r="P13" s="36" t="n">
        <f aca="false">IFERROR(H13/G13,9999)</f>
        <v>38.7725711753628</v>
      </c>
      <c r="Q13" s="37" t="n">
        <f aca="false">IFERROR(G13*CONFIG!$B$13,0)</f>
        <v>193.435714285714</v>
      </c>
      <c r="R13" s="37" t="n">
        <f aca="false">IFERROR(G13*365,0)</f>
        <v>4706.93571428571</v>
      </c>
      <c r="S13" s="38" t="n">
        <f aca="true">IFERROR(TODAY()+P13,TODAY())</f>
        <v>46161.7725711754</v>
      </c>
      <c r="T13" s="39" t="n">
        <f aca="true">IFERROR(TODAY()+IFERROR(K13/G13,9999),TODAY())</f>
        <v>46177.2815996455</v>
      </c>
      <c r="U13" s="40" t="str">
        <f aca="false">IFERROR(minifs(PO_LOG!$K:$K,PO_LOG!$B:$B,A13,PO_LOG!$K:$K,"&gt;"&amp;TODAY()),"No open PO")</f>
        <v>No open PO</v>
      </c>
      <c r="V13" s="37" t="n">
        <f aca="false">IFERROR(IF(U13="No open PO",0,SUMIFS(PO_LOG!$D:$D,PO_LOG!$B:$B,A13,PO_LOG!$K:$K,U13)),0)</f>
        <v>0</v>
      </c>
      <c r="W13" s="39" t="n">
        <f aca="false">IFERROR(IF(U13="No open PO",T13,U13+(H13+V13)/G13),T13)</f>
        <v>46177.2815996455</v>
      </c>
      <c r="X13" s="37" t="n">
        <f aca="false">IFERROR(G13*(CONFIG!$B$9+CONFIG!$B$13),0)</f>
        <v>1121.92714285714</v>
      </c>
      <c r="Y13" s="37" t="n">
        <f aca="false">IFERROR(MAX(0,X13-K13),0)</f>
        <v>421.927142857143</v>
      </c>
      <c r="Z13" s="33" t="n">
        <f aca="false">IFERROR(SUMIFS(PO_LOG!$D:$D,PO_LOG!$B:$B,A13,PO_LOG!$L:$L,"&lt;&gt;Received"),0)</f>
        <v>0</v>
      </c>
      <c r="AA13" s="41" t="n">
        <f aca="false">IFERROR(MAX(0,Y13-Z13),0)</f>
        <v>421.927142857143</v>
      </c>
      <c r="AB13" s="34" t="n">
        <f aca="false">IFERROR(IF(AA13=0,0,MAX(CEILING(AA13,L13),IFERROR(VLOOKUP(A13,CONFIG!$A$27:$H$34,4,0),0))),0)</f>
        <v>432</v>
      </c>
      <c r="AC13" s="42" t="str">
        <f aca="false">IF(P13&gt;=9000,"No Sales",IF(P13&lt;CONFIG!$B$13,"CRITICAL",IF(P13&lt;CONFIG!$B$16,"REORDER NOW",IF(P13&gt;CONFIG!$B$14,"OVERSTOCK","HEALTHY"))))</f>
        <v>REORDER NOW</v>
      </c>
      <c r="AD13" s="43" t="n">
        <f aca="false">IFERROR(R13/MAX(H13,1),0)</f>
        <v>9.41387142857143</v>
      </c>
      <c r="AE13" s="31" t="n">
        <f aca="false">IFERROR(IFERROR(K13/G13,0)/7,0)</f>
        <v>7.75451423507256</v>
      </c>
      <c r="AF13" s="44" t="n">
        <f aca="false">IFERROR(MAX(0,MIN(1,(CONFIG!$B$16-P13)/CONFIG!$B$16)),0)</f>
        <v>0.554338262352152</v>
      </c>
      <c r="AG13" s="45" t="str">
        <f aca="false">IF(P13&gt;CONFIG!$B$14,"YES","")</f>
        <v/>
      </c>
      <c r="AH13" s="46" t="n">
        <f aca="false">IFERROR(VLOOKUP(A13,CONFIG!$A$27:$M$34,12,0),0)</f>
        <v>0.00036</v>
      </c>
      <c r="AI13" s="47" t="n">
        <f aca="false">IFERROR(VLOOKUP(A13,CONFIG!$A$27:$M$34,13,0),0)</f>
        <v>0.00864</v>
      </c>
      <c r="AJ13" s="34" t="n">
        <f aca="false">IFERROR(AB13*L13,0)</f>
        <v>10368</v>
      </c>
      <c r="AK13" s="48" t="n">
        <f aca="false">IFERROR(AJ13*AH13,0)</f>
        <v>3.73248</v>
      </c>
      <c r="AL13" s="49" t="n">
        <f aca="false">IFERROR(CEILING(AK13/CONFIG!$B$40,1),0)</f>
        <v>1</v>
      </c>
      <c r="AM13" s="50" t="n">
        <f aca="false">IFERROR(IF(AL13=0,0,AK13/(AL13*CONFIG!$B$40)),0)</f>
        <v>0.0650541176470588</v>
      </c>
      <c r="AN13" s="37" t="n">
        <f aca="false">IFERROR(IF(AH13=0,0,FLOOR(CONFIG!$B$40/AH13,L13)),0)</f>
        <v>159360</v>
      </c>
      <c r="AO13" s="37" t="n">
        <f aca="false">IFERROR(AK13*200,0)</f>
        <v>746.496</v>
      </c>
    </row>
    <row r="14" customFormat="false" ht="15" hidden="false" customHeight="true" outlineLevel="0" collapsed="false">
      <c r="A14" s="51" t="s">
        <v>71</v>
      </c>
      <c r="B14" s="52" t="str">
        <f aca="false">IFERROR(VLOOKUP(A14,CONFIG!$A$27:$H$34,2,0),"?")</f>
        <v>Backpack</v>
      </c>
      <c r="C14" s="53" t="str">
        <f aca="false">IFERROR(VLOOKUP(A14,CONFIG!$A$27:$H$34,7,0),"?")</f>
        <v>Bags</v>
      </c>
      <c r="D14" s="54" t="n">
        <f aca="true">IFERROR(SUMIFS(SALES_DATA!$D:$D,SALES_DATA!$B:$B,A14,SALES_DATA!$A:$A,"&gt;="&amp;(TODAY()-7))/7,0)</f>
        <v>1</v>
      </c>
      <c r="E14" s="54" t="n">
        <f aca="true">IFERROR(SUMIFS(SALES_DATA!$D:$D,SALES_DATA!$B:$B,A14,SALES_DATA!$A:$A,"&gt;="&amp;(TODAY()-30))/30,0)</f>
        <v>1</v>
      </c>
      <c r="F14" s="54" t="n">
        <f aca="true">IFERROR(SUMIFS(SALES_DATA!$D:$D,SALES_DATA!$B:$B,A14,SALES_DATA!$A:$A,"&gt;="&amp;(TODAY()-90))/90,0)</f>
        <v>1</v>
      </c>
      <c r="G14" s="32" t="n">
        <f aca="false">IFERROR(D14*CONFIG!$B$20+E14*CONFIG!$B$21+F14*CONFIG!$B$22,0)</f>
        <v>1</v>
      </c>
      <c r="H14" s="55" t="n">
        <f aca="false">IFERROR(VLOOKUP(A14,INVENTORY!$A:$C,3,0),0)</f>
        <v>8</v>
      </c>
      <c r="I14" s="55" t="n">
        <f aca="false">IFERROR(VLOOKUP(A14,INVENTORY!$A:$D,4,0),0)</f>
        <v>0</v>
      </c>
      <c r="J14" s="55" t="n">
        <f aca="false">IFERROR(VLOOKUP(A14,INVENTORY!$A:$E,5,0),0)</f>
        <v>10</v>
      </c>
      <c r="K14" s="34" t="n">
        <f aca="false">H14+I14+J14</f>
        <v>18</v>
      </c>
      <c r="L14" s="55" t="n">
        <f aca="false">IFERROR(VLOOKUP(A14,CONFIG!$A$27:$H$34,3,0),1)</f>
        <v>2</v>
      </c>
      <c r="M14" s="56" t="n">
        <f aca="false">IFERROR(H14/D14,9999)</f>
        <v>8</v>
      </c>
      <c r="N14" s="56" t="n">
        <f aca="false">IFERROR(H14/E14,9999)</f>
        <v>8</v>
      </c>
      <c r="O14" s="56" t="n">
        <f aca="false">IFERROR(H14/F14,9999)</f>
        <v>8</v>
      </c>
      <c r="P14" s="36" t="n">
        <f aca="false">IFERROR(H14/G14,9999)</f>
        <v>8</v>
      </c>
      <c r="Q14" s="57" t="n">
        <f aca="false">IFERROR(G14*CONFIG!$B$13,0)</f>
        <v>15</v>
      </c>
      <c r="R14" s="57" t="n">
        <f aca="false">IFERROR(G14*365,0)</f>
        <v>365</v>
      </c>
      <c r="S14" s="38" t="n">
        <f aca="true">IFERROR(TODAY()+P14,TODAY())</f>
        <v>46131</v>
      </c>
      <c r="T14" s="39" t="n">
        <f aca="true">IFERROR(TODAY()+IFERROR(K14/G14,9999),TODAY())</f>
        <v>46141</v>
      </c>
      <c r="U14" s="58" t="str">
        <f aca="false">IFERROR(minifs(PO_LOG!$K:$K,PO_LOG!$B:$B,A14,PO_LOG!$K:$K,"&gt;"&amp;TODAY()),"No open PO")</f>
        <v>No open PO</v>
      </c>
      <c r="V14" s="57" t="n">
        <f aca="false">IFERROR(IF(U14="No open PO",0,SUMIFS(PO_LOG!$D:$D,PO_LOG!$B:$B,A14,PO_LOG!$K:$K,U14)),0)</f>
        <v>0</v>
      </c>
      <c r="W14" s="39" t="n">
        <f aca="false">IFERROR(IF(U14="No open PO",T14,U14+(H14+V14)/G14),T14)</f>
        <v>46141</v>
      </c>
      <c r="X14" s="57" t="n">
        <f aca="false">IFERROR(G14*(CONFIG!$B$9+CONFIG!$B$13),0)</f>
        <v>87</v>
      </c>
      <c r="Y14" s="57" t="n">
        <f aca="false">IFERROR(MAX(0,X14-K14),0)</f>
        <v>69</v>
      </c>
      <c r="Z14" s="55" t="n">
        <f aca="false">IFERROR(SUMIFS(PO_LOG!$D:$D,PO_LOG!$B:$B,A14,PO_LOG!$L:$L,"&lt;&gt;Received"),0)</f>
        <v>10</v>
      </c>
      <c r="AA14" s="41" t="n">
        <f aca="false">IFERROR(MAX(0,Y14-Z14),0)</f>
        <v>59</v>
      </c>
      <c r="AB14" s="34" t="n">
        <f aca="false">IFERROR(IF(AA14=0,0,MAX(CEILING(AA14,L14),IFERROR(VLOOKUP(A14,CONFIG!$A$27:$H$34,4,0),0))),0)</f>
        <v>60</v>
      </c>
      <c r="AC14" s="42" t="str">
        <f aca="false">IF(P14&gt;=9000,"No Sales",IF(P14&lt;CONFIG!$B$13,"CRITICAL",IF(P14&lt;CONFIG!$B$16,"REORDER NOW",IF(P14&gt;CONFIG!$B$14,"OVERSTOCK","HEALTHY"))))</f>
        <v>CRITICAL</v>
      </c>
      <c r="AD14" s="59" t="n">
        <f aca="false">IFERROR(R14/MAX(H14,1),0)</f>
        <v>45.625</v>
      </c>
      <c r="AE14" s="54" t="n">
        <f aca="false">IFERROR(IFERROR(K14/G14,0)/7,0)</f>
        <v>2.57142857142857</v>
      </c>
      <c r="AF14" s="60" t="n">
        <f aca="false">IFERROR(MAX(0,MIN(1,(CONFIG!$B$16-P14)/CONFIG!$B$16)),0)</f>
        <v>0.908045977011494</v>
      </c>
      <c r="AG14" s="61" t="str">
        <f aca="false">IF(P14&gt;CONFIG!$B$14,"YES","")</f>
        <v/>
      </c>
      <c r="AH14" s="62" t="n">
        <f aca="false">IFERROR(VLOOKUP(A14,CONFIG!$A$27:$M$34,12,0),0)</f>
        <v>0.0385</v>
      </c>
      <c r="AI14" s="63" t="n">
        <f aca="false">IFERROR(VLOOKUP(A14,CONFIG!$A$27:$M$34,13,0),0)</f>
        <v>0.077</v>
      </c>
      <c r="AJ14" s="34" t="n">
        <f aca="false">IFERROR(AB14*L14,0)</f>
        <v>120</v>
      </c>
      <c r="AK14" s="48" t="n">
        <f aca="false">IFERROR(AJ14*AH14,0)</f>
        <v>4.62</v>
      </c>
      <c r="AL14" s="49" t="n">
        <f aca="false">IFERROR(CEILING(AK14/CONFIG!$B$40,1),0)</f>
        <v>1</v>
      </c>
      <c r="AM14" s="50" t="n">
        <f aca="false">IFERROR(IF(AL14=0,0,AK14/(AL14*CONFIG!$B$40)),0)</f>
        <v>0.0805228758169935</v>
      </c>
      <c r="AN14" s="57" t="n">
        <f aca="false">IFERROR(IF(AH14=0,0,FLOOR(CONFIG!$B$40/AH14,L14)),0)</f>
        <v>1490</v>
      </c>
      <c r="AO14" s="57" t="n">
        <f aca="false">IFERROR(AK14*200,0)</f>
        <v>924</v>
      </c>
    </row>
    <row r="15" customFormat="false" ht="15" hidden="false" customHeight="true" outlineLevel="0" collapsed="false">
      <c r="A15" s="28" t="s">
        <v>72</v>
      </c>
      <c r="B15" s="29" t="str">
        <f aca="false">IFERROR(VLOOKUP(A15,CONFIG!$A$27:$H$34,2,0),"?")</f>
        <v>Sunglasses</v>
      </c>
      <c r="C15" s="30" t="str">
        <f aca="false">IFERROR(VLOOKUP(A15,CONFIG!$A$27:$H$34,7,0),"?")</f>
        <v>Accessories</v>
      </c>
      <c r="D15" s="31" t="n">
        <f aca="true">IFERROR(SUMIFS(SALES_DATA!$D:$D,SALES_DATA!$B:$B,A15,SALES_DATA!$A:$A,"&gt;="&amp;(TODAY()-7))/7,0)</f>
        <v>4.42857142857143</v>
      </c>
      <c r="E15" s="31" t="n">
        <f aca="true">IFERROR(SUMIFS(SALES_DATA!$D:$D,SALES_DATA!$B:$B,A15,SALES_DATA!$A:$A,"&gt;="&amp;(TODAY()-30))/30,0)</f>
        <v>4.1</v>
      </c>
      <c r="F15" s="31" t="n">
        <f aca="true">IFERROR(SUMIFS(SALES_DATA!$D:$D,SALES_DATA!$B:$B,A15,SALES_DATA!$A:$A,"&gt;="&amp;(TODAY()-90))/90,0)</f>
        <v>4</v>
      </c>
      <c r="G15" s="32" t="n">
        <f aca="false">IFERROR(D15*CONFIG!$B$20+E15*CONFIG!$B$21+F15*CONFIG!$B$22,0)</f>
        <v>4.24428571428571</v>
      </c>
      <c r="H15" s="33" t="n">
        <f aca="false">IFERROR(VLOOKUP(A15,INVENTORY!$A:$C,3,0),0)</f>
        <v>60</v>
      </c>
      <c r="I15" s="33" t="n">
        <f aca="false">IFERROR(VLOOKUP(A15,INVENTORY!$A:$D,4,0),0)</f>
        <v>0</v>
      </c>
      <c r="J15" s="33" t="n">
        <f aca="false">IFERROR(VLOOKUP(A15,INVENTORY!$A:$E,5,0),0)</f>
        <v>0</v>
      </c>
      <c r="K15" s="34" t="n">
        <f aca="false">H15+I15+J15</f>
        <v>60</v>
      </c>
      <c r="L15" s="33" t="n">
        <f aca="false">IFERROR(VLOOKUP(A15,CONFIG!$A$27:$H$34,3,0),1)</f>
        <v>6</v>
      </c>
      <c r="M15" s="35" t="n">
        <f aca="false">IFERROR(H15/D15,9999)</f>
        <v>13.5483870967742</v>
      </c>
      <c r="N15" s="35" t="n">
        <f aca="false">IFERROR(H15/E15,9999)</f>
        <v>14.6341463414634</v>
      </c>
      <c r="O15" s="35" t="n">
        <f aca="false">IFERROR(H15/F15,9999)</f>
        <v>15</v>
      </c>
      <c r="P15" s="36" t="n">
        <f aca="false">IFERROR(H15/G15,9999)</f>
        <v>14.1366543251431</v>
      </c>
      <c r="Q15" s="37" t="n">
        <f aca="false">IFERROR(G15*CONFIG!$B$13,0)</f>
        <v>63.6642857142857</v>
      </c>
      <c r="R15" s="37" t="n">
        <f aca="false">IFERROR(G15*365,0)</f>
        <v>1549.16428571429</v>
      </c>
      <c r="S15" s="38" t="n">
        <f aca="true">IFERROR(TODAY()+P15,TODAY())</f>
        <v>46137.1366543251</v>
      </c>
      <c r="T15" s="39" t="n">
        <f aca="true">IFERROR(TODAY()+IFERROR(K15/G15,9999),TODAY())</f>
        <v>46137.1366543251</v>
      </c>
      <c r="U15" s="40" t="str">
        <f aca="false">IFERROR(minifs(PO_LOG!$K:$K,PO_LOG!$B:$B,A15,PO_LOG!$K:$K,"&gt;"&amp;TODAY()),"No open PO")</f>
        <v>No open PO</v>
      </c>
      <c r="V15" s="37" t="n">
        <f aca="false">IFERROR(IF(U15="No open PO",0,SUMIFS(PO_LOG!$D:$D,PO_LOG!$B:$B,A15,PO_LOG!$K:$K,U15)),0)</f>
        <v>0</v>
      </c>
      <c r="W15" s="39" t="n">
        <f aca="false">IFERROR(IF(U15="No open PO",T15,U15+(H15+V15)/G15),T15)</f>
        <v>46137.1366543251</v>
      </c>
      <c r="X15" s="37" t="n">
        <f aca="false">IFERROR(G15*(CONFIG!$B$9+CONFIG!$B$13),0)</f>
        <v>369.252857142857</v>
      </c>
      <c r="Y15" s="37" t="n">
        <f aca="false">IFERROR(MAX(0,X15-K15),0)</f>
        <v>309.252857142857</v>
      </c>
      <c r="Z15" s="33" t="n">
        <f aca="false">IFERROR(SUMIFS(PO_LOG!$D:$D,PO_LOG!$B:$B,A15,PO_LOG!$L:$L,"&lt;&gt;Received"),0)</f>
        <v>60</v>
      </c>
      <c r="AA15" s="41" t="n">
        <f aca="false">IFERROR(MAX(0,Y15-Z15),0)</f>
        <v>249.252857142857</v>
      </c>
      <c r="AB15" s="34" t="n">
        <f aca="false">IFERROR(IF(AA15=0,0,MAX(CEILING(AA15,L15),IFERROR(VLOOKUP(A15,CONFIG!$A$27:$H$34,4,0),0))),0)</f>
        <v>252</v>
      </c>
      <c r="AC15" s="42" t="str">
        <f aca="false">IF(P15&gt;=9000,"No Sales",IF(P15&lt;CONFIG!$B$13,"CRITICAL",IF(P15&lt;CONFIG!$B$16,"REORDER NOW",IF(P15&gt;CONFIG!$B$14,"OVERSTOCK","HEALTHY"))))</f>
        <v>CRITICAL</v>
      </c>
      <c r="AD15" s="43" t="n">
        <f aca="false">IFERROR(R15/MAX(H15,1),0)</f>
        <v>25.8194047619048</v>
      </c>
      <c r="AE15" s="31" t="n">
        <f aca="false">IFERROR(IFERROR(K15/G15,0)/7,0)</f>
        <v>2.01952204644901</v>
      </c>
      <c r="AF15" s="44" t="n">
        <f aca="false">IFERROR(MAX(0,MIN(1,(CONFIG!$B$16-P15)/CONFIG!$B$16)),0)</f>
        <v>0.837509720400655</v>
      </c>
      <c r="AG15" s="45" t="str">
        <f aca="false">IF(P15&gt;CONFIG!$B$14,"YES","")</f>
        <v/>
      </c>
      <c r="AH15" s="46" t="n">
        <f aca="false">IFERROR(VLOOKUP(A15,CONFIG!$A$27:$M$34,12,0),0)</f>
        <v>0.0024</v>
      </c>
      <c r="AI15" s="47" t="n">
        <f aca="false">IFERROR(VLOOKUP(A15,CONFIG!$A$27:$M$34,13,0),0)</f>
        <v>0.0144</v>
      </c>
      <c r="AJ15" s="34" t="n">
        <f aca="false">IFERROR(AB15*L15,0)</f>
        <v>1512</v>
      </c>
      <c r="AK15" s="48" t="n">
        <f aca="false">IFERROR(AJ15*AH15,0)</f>
        <v>3.6288</v>
      </c>
      <c r="AL15" s="49" t="n">
        <f aca="false">IFERROR(CEILING(AK15/CONFIG!$B$40,1),0)</f>
        <v>1</v>
      </c>
      <c r="AM15" s="50" t="n">
        <f aca="false">IFERROR(IF(AL15=0,0,AK15/(AL15*CONFIG!$B$40)),0)</f>
        <v>0.0632470588235294</v>
      </c>
      <c r="AN15" s="37" t="n">
        <f aca="false">IFERROR(IF(AH15=0,0,FLOOR(CONFIG!$B$40/AH15,L15)),0)</f>
        <v>23904</v>
      </c>
      <c r="AO15" s="37" t="n">
        <f aca="false">IFERROR(AK15*200,0)</f>
        <v>725.76</v>
      </c>
    </row>
    <row r="16" customFormat="false" ht="15" hidden="false" customHeight="true" outlineLevel="0" collapsed="false">
      <c r="A16" s="51" t="s">
        <v>73</v>
      </c>
      <c r="B16" s="52" t="str">
        <f aca="false">IFERROR(VLOOKUP(A16,CONFIG!$A$27:$H$34,2,0),"?")</f>
        <v>Laptop Stand</v>
      </c>
      <c r="C16" s="53" t="str">
        <f aca="false">IFERROR(VLOOKUP(A16,CONFIG!$A$27:$H$34,7,0),"?")</f>
        <v>Office</v>
      </c>
      <c r="D16" s="54" t="n">
        <f aca="true">IFERROR(SUMIFS(SALES_DATA!$D:$D,SALES_DATA!$B:$B,A16,SALES_DATA!$A:$A,"&gt;="&amp;(TODAY()-7))/7,0)</f>
        <v>2.14285714285714</v>
      </c>
      <c r="E16" s="54" t="n">
        <f aca="true">IFERROR(SUMIFS(SALES_DATA!$D:$D,SALES_DATA!$B:$B,A16,SALES_DATA!$A:$A,"&gt;="&amp;(TODAY()-30))/30,0)</f>
        <v>2.03333333333333</v>
      </c>
      <c r="F16" s="54" t="n">
        <f aca="true">IFERROR(SUMIFS(SALES_DATA!$D:$D,SALES_DATA!$B:$B,A16,SALES_DATA!$A:$A,"&gt;="&amp;(TODAY()-90))/90,0)</f>
        <v>2</v>
      </c>
      <c r="G16" s="32" t="n">
        <f aca="false">IFERROR(D16*CONFIG!$B$20+E16*CONFIG!$B$21+F16*CONFIG!$B$22,0)</f>
        <v>2.08142857142857</v>
      </c>
      <c r="H16" s="55" t="n">
        <f aca="false">IFERROR(VLOOKUP(A16,INVENTORY!$A:$C,3,0),0)</f>
        <v>45</v>
      </c>
      <c r="I16" s="55" t="n">
        <f aca="false">IFERROR(VLOOKUP(A16,INVENTORY!$A:$D,4,0),0)</f>
        <v>0</v>
      </c>
      <c r="J16" s="55" t="n">
        <f aca="false">IFERROR(VLOOKUP(A16,INVENTORY!$A:$E,5,0),0)</f>
        <v>0</v>
      </c>
      <c r="K16" s="34" t="n">
        <f aca="false">H16+I16+J16</f>
        <v>45</v>
      </c>
      <c r="L16" s="55" t="n">
        <f aca="false">IFERROR(VLOOKUP(A16,CONFIG!$A$27:$H$34,3,0),1)</f>
        <v>4</v>
      </c>
      <c r="M16" s="56" t="n">
        <f aca="false">IFERROR(H16/D16,9999)</f>
        <v>21</v>
      </c>
      <c r="N16" s="56" t="n">
        <f aca="false">IFERROR(H16/E16,9999)</f>
        <v>22.1311475409836</v>
      </c>
      <c r="O16" s="56" t="n">
        <f aca="false">IFERROR(H16/F16,9999)</f>
        <v>22.5</v>
      </c>
      <c r="P16" s="36" t="n">
        <f aca="false">IFERROR(H16/G16,9999)</f>
        <v>21.6197666437886</v>
      </c>
      <c r="Q16" s="57" t="n">
        <f aca="false">IFERROR(G16*CONFIG!$B$13,0)</f>
        <v>31.2214285714286</v>
      </c>
      <c r="R16" s="57" t="n">
        <f aca="false">IFERROR(G16*365,0)</f>
        <v>759.721428571429</v>
      </c>
      <c r="S16" s="38" t="n">
        <f aca="true">IFERROR(TODAY()+P16,TODAY())</f>
        <v>46144.6197666438</v>
      </c>
      <c r="T16" s="39" t="n">
        <f aca="true">IFERROR(TODAY()+IFERROR(K16/G16,9999),TODAY())</f>
        <v>46144.6197666438</v>
      </c>
      <c r="U16" s="58" t="str">
        <f aca="false">IFERROR(minifs(PO_LOG!$K:$K,PO_LOG!$B:$B,A16,PO_LOG!$K:$K,"&gt;"&amp;TODAY()),"No open PO")</f>
        <v>No open PO</v>
      </c>
      <c r="V16" s="57" t="n">
        <f aca="false">IFERROR(IF(U16="No open PO",0,SUMIFS(PO_LOG!$D:$D,PO_LOG!$B:$B,A16,PO_LOG!$K:$K,U16)),0)</f>
        <v>0</v>
      </c>
      <c r="W16" s="39" t="n">
        <f aca="false">IFERROR(IF(U16="No open PO",T16,U16+(H16+V16)/G16),T16)</f>
        <v>46144.6197666438</v>
      </c>
      <c r="X16" s="57" t="n">
        <f aca="false">IFERROR(G16*(CONFIG!$B$9+CONFIG!$B$13),0)</f>
        <v>181.084285714286</v>
      </c>
      <c r="Y16" s="57" t="n">
        <f aca="false">IFERROR(MAX(0,X16-K16),0)</f>
        <v>136.084285714286</v>
      </c>
      <c r="Z16" s="55" t="n">
        <f aca="false">IFERROR(SUMIFS(PO_LOG!$D:$D,PO_LOG!$B:$B,A16,PO_LOG!$L:$L,"&lt;&gt;Received"),0)</f>
        <v>32</v>
      </c>
      <c r="AA16" s="41" t="n">
        <f aca="false">IFERROR(MAX(0,Y16-Z16),0)</f>
        <v>104.084285714286</v>
      </c>
      <c r="AB16" s="34" t="n">
        <f aca="false">IFERROR(IF(AA16=0,0,MAX(CEILING(AA16,L16),IFERROR(VLOOKUP(A16,CONFIG!$A$27:$H$34,4,0),0))),0)</f>
        <v>108</v>
      </c>
      <c r="AC16" s="42" t="str">
        <f aca="false">IF(P16&gt;=9000,"No Sales",IF(P16&lt;CONFIG!$B$13,"CRITICAL",IF(P16&lt;CONFIG!$B$16,"REORDER NOW",IF(P16&gt;CONFIG!$B$14,"OVERSTOCK","HEALTHY"))))</f>
        <v>REORDER NOW</v>
      </c>
      <c r="AD16" s="59" t="n">
        <f aca="false">IFERROR(R16/MAX(H16,1),0)</f>
        <v>16.8826984126984</v>
      </c>
      <c r="AE16" s="54" t="n">
        <f aca="false">IFERROR(IFERROR(K16/G16,0)/7,0)</f>
        <v>3.0885380919698</v>
      </c>
      <c r="AF16" s="60" t="n">
        <f aca="false">IFERROR(MAX(0,MIN(1,(CONFIG!$B$16-P16)/CONFIG!$B$16)),0)</f>
        <v>0.751496935128867</v>
      </c>
      <c r="AG16" s="61" t="str">
        <f aca="false">IF(P16&gt;CONFIG!$B$14,"YES","")</f>
        <v/>
      </c>
      <c r="AH16" s="62" t="n">
        <f aca="false">IFERROR(VLOOKUP(A16,CONFIG!$A$27:$M$34,12,0),0)</f>
        <v>0.0096</v>
      </c>
      <c r="AI16" s="63" t="n">
        <f aca="false">IFERROR(VLOOKUP(A16,CONFIG!$A$27:$M$34,13,0),0)</f>
        <v>0.0384</v>
      </c>
      <c r="AJ16" s="34" t="n">
        <f aca="false">IFERROR(AB16*L16,0)</f>
        <v>432</v>
      </c>
      <c r="AK16" s="48" t="n">
        <f aca="false">IFERROR(AJ16*AH16,0)</f>
        <v>4.1472</v>
      </c>
      <c r="AL16" s="49" t="n">
        <f aca="false">IFERROR(CEILING(AK16/CONFIG!$B$40,1),0)</f>
        <v>1</v>
      </c>
      <c r="AM16" s="50" t="n">
        <f aca="false">IFERROR(IF(AL16=0,0,AK16/(AL16*CONFIG!$B$40)),0)</f>
        <v>0.0722823529411765</v>
      </c>
      <c r="AN16" s="57" t="n">
        <f aca="false">IFERROR(IF(AH16=0,0,FLOOR(CONFIG!$B$40/AH16,L16)),0)</f>
        <v>5976</v>
      </c>
      <c r="AO16" s="57" t="n">
        <f aca="false">IFERROR(AK16*200,0)</f>
        <v>829.44</v>
      </c>
    </row>
  </sheetData>
  <mergeCells count="35">
    <mergeCell ref="A1:AG1"/>
    <mergeCell ref="A2:B2"/>
    <mergeCell ref="C2:D2"/>
    <mergeCell ref="E2:F2"/>
    <mergeCell ref="G2:H2"/>
    <mergeCell ref="I2:J2"/>
    <mergeCell ref="K2:L2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C7"/>
    <mergeCell ref="D7:G7"/>
    <mergeCell ref="H7:K7"/>
    <mergeCell ref="M7:P7"/>
    <mergeCell ref="Q7:R7"/>
    <mergeCell ref="S7:T7"/>
    <mergeCell ref="U7:W7"/>
    <mergeCell ref="X7:AB7"/>
    <mergeCell ref="AD7:AG7"/>
    <mergeCell ref="AH7:AO7"/>
  </mergeCells>
  <conditionalFormatting sqref="AC9:AC16">
    <cfRule type="expression" priority="2" aboveAverage="0" equalAverage="0" bottom="0" percent="0" rank="0" text="" dxfId="0">
      <formula>AC9="CRITICAL"</formula>
    </cfRule>
    <cfRule type="expression" priority="3" aboveAverage="0" equalAverage="0" bottom="0" percent="0" rank="0" text="" dxfId="1">
      <formula>AC9="REORDER NOW"</formula>
    </cfRule>
    <cfRule type="expression" priority="4" aboveAverage="0" equalAverage="0" bottom="0" percent="0" rank="0" text="" dxfId="2">
      <formula>AC9="HEALTHY"</formula>
    </cfRule>
    <cfRule type="expression" priority="5" aboveAverage="0" equalAverage="0" bottom="0" percent="0" rank="0" text="" dxfId="3">
      <formula>AC9="OVERSTOCK"</formula>
    </cfRule>
    <cfRule type="expression" priority="6" aboveAverage="0" equalAverage="0" bottom="0" percent="0" rank="0" text="" dxfId="4">
      <formula>AC9="No Sales"</formula>
    </cfRule>
  </conditionalFormatting>
  <conditionalFormatting sqref="P9:P16">
    <cfRule type="colorScale" priority="7">
      <colorScale>
        <cfvo type="num" val="0"/>
        <cfvo type="num" val="45"/>
        <cfvo type="num" val="90"/>
        <color rgb="FFFF6B6B"/>
        <color rgb="FFFFD700"/>
        <color rgb="FF00B050"/>
      </colorScale>
    </cfRule>
  </conditionalFormatting>
  <conditionalFormatting sqref="AF9:AF16">
    <cfRule type="colorScale" priority="8">
      <colorScale>
        <cfvo type="num" val="0"/>
        <cfvo type="num" val="0.5"/>
        <cfvo type="num" val="1"/>
        <color rgb="FF00B050"/>
        <color rgb="FFFFD700"/>
        <color rgb="FFFF6B6B"/>
      </colorScale>
    </cfRule>
  </conditionalFormatting>
  <conditionalFormatting sqref="AM9:AM16">
    <cfRule type="colorScale" priority="9">
      <colorScale>
        <cfvo type="num" val="0"/>
        <cfvo type="num" val="0.7"/>
        <cfvo type="num" val="1"/>
        <color rgb="FFFF6B6B"/>
        <color rgb="FFFFD700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3D5A"/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3" min="12" style="0" width="18"/>
    <col collapsed="false" customWidth="true" hidden="false" outlineLevel="0" max="14" min="14" style="0" width="22"/>
  </cols>
  <sheetData>
    <row r="1" customFormat="false" ht="25.5" hidden="false" customHeight="true" outlineLevel="0" collapsed="false">
      <c r="A1" s="64" t="s">
        <v>74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customFormat="false" ht="15.75" hidden="false" customHeight="true" outlineLevel="0" collapsed="false">
      <c r="A2" s="25" t="s">
        <v>75</v>
      </c>
      <c r="B2" s="25"/>
      <c r="C2" s="25" t="s">
        <v>76</v>
      </c>
      <c r="D2" s="25"/>
      <c r="E2" s="25" t="s">
        <v>77</v>
      </c>
      <c r="F2" s="25"/>
      <c r="G2" s="25" t="s">
        <v>78</v>
      </c>
      <c r="H2" s="25"/>
      <c r="I2" s="25" t="s">
        <v>79</v>
      </c>
      <c r="J2" s="25"/>
      <c r="K2" s="25" t="s">
        <v>80</v>
      </c>
      <c r="L2" s="25"/>
    </row>
    <row r="3" customFormat="false" ht="27.75" hidden="false" customHeight="true" outlineLevel="0" collapsed="false">
      <c r="A3" s="65" t="n">
        <f aca="false">SUM(DEMAND_MODEL!AL9:AL16)</f>
        <v>8</v>
      </c>
      <c r="B3" s="65"/>
      <c r="C3" s="66" t="n">
        <f aca="false">SUM(DEMAND_MODEL!AK9:AK16)</f>
        <v>57.86418</v>
      </c>
      <c r="D3" s="66"/>
      <c r="E3" s="67" t="n">
        <f aca="false">IFERROR(SUM(DEMAND_MODEL!AK9:AK16)/(SUM(DEMAND_MODEL!AL9:AL16)*CONFIG!$B$40),0)</f>
        <v>0.126065751633987</v>
      </c>
      <c r="F3" s="67"/>
      <c r="G3" s="68" t="n">
        <f aca="false">CONFIG!$B$40</f>
        <v>57.375</v>
      </c>
      <c r="H3" s="68"/>
      <c r="I3" s="68" t="n">
        <f aca="false">CONFIG!$B$39</f>
        <v>0.85</v>
      </c>
      <c r="J3" s="68"/>
      <c r="K3" s="68" t="n">
        <f aca="false">CONFIG!$B$38</f>
        <v>67.5</v>
      </c>
      <c r="L3" s="68"/>
    </row>
    <row r="4" customFormat="false" ht="7.5" hidden="false" customHeight="true" outlineLevel="0" collapsed="false"/>
    <row r="5" customFormat="false" ht="15" hidden="false" customHeight="false" outlineLevel="0" collapsed="false">
      <c r="A5" s="69" t="s">
        <v>81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</row>
    <row r="6" customFormat="false" ht="31.5" hidden="false" customHeight="true" outlineLevel="0" collapsed="false">
      <c r="A6" s="70" t="s">
        <v>25</v>
      </c>
      <c r="B6" s="70" t="s">
        <v>26</v>
      </c>
      <c r="C6" s="70" t="s">
        <v>82</v>
      </c>
      <c r="D6" s="70" t="s">
        <v>83</v>
      </c>
      <c r="E6" s="70" t="s">
        <v>84</v>
      </c>
      <c r="F6" s="70" t="s">
        <v>58</v>
      </c>
      <c r="G6" s="70" t="s">
        <v>36</v>
      </c>
      <c r="H6" s="70" t="s">
        <v>59</v>
      </c>
      <c r="I6" s="70" t="s">
        <v>85</v>
      </c>
      <c r="J6" s="70" t="s">
        <v>86</v>
      </c>
      <c r="K6" s="70" t="s">
        <v>87</v>
      </c>
      <c r="L6" s="70" t="s">
        <v>88</v>
      </c>
      <c r="M6" s="70" t="s">
        <v>89</v>
      </c>
      <c r="N6" s="70" t="s">
        <v>90</v>
      </c>
    </row>
    <row r="7" customFormat="false" ht="15" hidden="false" customHeight="false" outlineLevel="0" collapsed="false">
      <c r="A7" s="30" t="str">
        <f aca="false">DEMAND_MODEL!A9</f>
        <v>SKU-001</v>
      </c>
      <c r="B7" s="29" t="str">
        <f aca="false">DEMAND_MODEL!B9</f>
        <v>Wireless Earbuds</v>
      </c>
      <c r="C7" s="71" t="n">
        <f aca="false">IFERROR(VLOOKUP(DEMAND_MODEL!A9,CONFIG!$A$27:$M$34,9,0),0)</f>
        <v>15</v>
      </c>
      <c r="D7" s="71" t="n">
        <f aca="false">IFERROR(VLOOKUP(DEMAND_MODEL!A9,CONFIG!$A$27:$M$34,10,0),0)</f>
        <v>10</v>
      </c>
      <c r="E7" s="71" t="n">
        <f aca="false">IFERROR(VLOOKUP(DEMAND_MODEL!A9,CONFIG!$A$27:$M$34,11,0),0)</f>
        <v>8</v>
      </c>
      <c r="F7" s="46" t="n">
        <f aca="false">DEMAND_MODEL!AH9</f>
        <v>0.0012</v>
      </c>
      <c r="G7" s="33" t="n">
        <f aca="false">DEMAND_MODEL!L9</f>
        <v>6</v>
      </c>
      <c r="H7" s="47" t="n">
        <f aca="false">DEMAND_MODEL!AI9</f>
        <v>0.0072</v>
      </c>
      <c r="I7" s="33" t="n">
        <f aca="false">DEMAND_MODEL!AB9</f>
        <v>300</v>
      </c>
      <c r="J7" s="33" t="n">
        <f aca="false">DEMAND_MODEL!AJ9</f>
        <v>1800</v>
      </c>
      <c r="K7" s="72" t="n">
        <f aca="false">DEMAND_MODEL!AK9</f>
        <v>2.16</v>
      </c>
      <c r="L7" s="73" t="n">
        <f aca="false">DEMAND_MODEL!AL9</f>
        <v>1</v>
      </c>
      <c r="M7" s="74" t="n">
        <f aca="false">DEMAND_MODEL!AM9</f>
        <v>0.0376470588235294</v>
      </c>
      <c r="N7" s="33" t="n">
        <f aca="false">DEMAND_MODEL!AO9</f>
        <v>432</v>
      </c>
    </row>
    <row r="8" customFormat="false" ht="15" hidden="false" customHeight="false" outlineLevel="0" collapsed="false">
      <c r="A8" s="53" t="str">
        <f aca="false">DEMAND_MODEL!A10</f>
        <v>SKU-002</v>
      </c>
      <c r="B8" s="52" t="str">
        <f aca="false">DEMAND_MODEL!B10</f>
        <v>Running Shoes</v>
      </c>
      <c r="C8" s="75" t="n">
        <f aca="false">IFERROR(VLOOKUP(DEMAND_MODEL!A10,CONFIG!$A$27:$M$34,9,0),0)</f>
        <v>35</v>
      </c>
      <c r="D8" s="75" t="n">
        <f aca="false">IFERROR(VLOOKUP(DEMAND_MODEL!A10,CONFIG!$A$27:$M$34,10,0),0)</f>
        <v>22</v>
      </c>
      <c r="E8" s="75" t="n">
        <f aca="false">IFERROR(VLOOKUP(DEMAND_MODEL!A10,CONFIG!$A$27:$M$34,11,0),0)</f>
        <v>15</v>
      </c>
      <c r="F8" s="62" t="n">
        <f aca="false">DEMAND_MODEL!AH10</f>
        <v>0.01155</v>
      </c>
      <c r="G8" s="55" t="n">
        <f aca="false">DEMAND_MODEL!L10</f>
        <v>4</v>
      </c>
      <c r="H8" s="63" t="n">
        <f aca="false">DEMAND_MODEL!AI10</f>
        <v>0.0462</v>
      </c>
      <c r="I8" s="55" t="n">
        <f aca="false">DEMAND_MODEL!AB10</f>
        <v>96</v>
      </c>
      <c r="J8" s="55" t="n">
        <f aca="false">DEMAND_MODEL!AJ10</f>
        <v>384</v>
      </c>
      <c r="K8" s="72" t="n">
        <f aca="false">DEMAND_MODEL!AK10</f>
        <v>4.4352</v>
      </c>
      <c r="L8" s="73" t="n">
        <f aca="false">DEMAND_MODEL!AL10</f>
        <v>1</v>
      </c>
      <c r="M8" s="74" t="n">
        <f aca="false">DEMAND_MODEL!AM10</f>
        <v>0.0773019607843137</v>
      </c>
      <c r="N8" s="55" t="n">
        <f aca="false">DEMAND_MODEL!AO10</f>
        <v>887.04</v>
      </c>
    </row>
    <row r="9" customFormat="false" ht="15" hidden="false" customHeight="false" outlineLevel="0" collapsed="false">
      <c r="A9" s="30" t="str">
        <f aca="false">DEMAND_MODEL!A11</f>
        <v>SKU-003</v>
      </c>
      <c r="B9" s="29" t="str">
        <f aca="false">DEMAND_MODEL!B11</f>
        <v>Water Bottle</v>
      </c>
      <c r="C9" s="71" t="n">
        <f aca="false">IFERROR(VLOOKUP(DEMAND_MODEL!A11,CONFIG!$A$27:$M$34,9,0),0)</f>
        <v>28</v>
      </c>
      <c r="D9" s="71" t="n">
        <f aca="false">IFERROR(VLOOKUP(DEMAND_MODEL!A11,CONFIG!$A$27:$M$34,10,0),0)</f>
        <v>10</v>
      </c>
      <c r="E9" s="71" t="n">
        <f aca="false">IFERROR(VLOOKUP(DEMAND_MODEL!A11,CONFIG!$A$27:$M$34,11,0),0)</f>
        <v>10</v>
      </c>
      <c r="F9" s="46" t="n">
        <f aca="false">DEMAND_MODEL!AH11</f>
        <v>0.0028</v>
      </c>
      <c r="G9" s="33" t="n">
        <f aca="false">DEMAND_MODEL!L11</f>
        <v>12</v>
      </c>
      <c r="H9" s="47" t="n">
        <f aca="false">DEMAND_MODEL!AI11</f>
        <v>0.0336</v>
      </c>
      <c r="I9" s="33" t="n">
        <f aca="false">DEMAND_MODEL!AB11</f>
        <v>480</v>
      </c>
      <c r="J9" s="33" t="n">
        <f aca="false">DEMAND_MODEL!AJ11</f>
        <v>5760</v>
      </c>
      <c r="K9" s="72" t="n">
        <f aca="false">DEMAND_MODEL!AK11</f>
        <v>16.128</v>
      </c>
      <c r="L9" s="73" t="n">
        <f aca="false">DEMAND_MODEL!AL11</f>
        <v>1</v>
      </c>
      <c r="M9" s="74" t="n">
        <f aca="false">DEMAND_MODEL!AM11</f>
        <v>0.281098039215686</v>
      </c>
      <c r="N9" s="33" t="n">
        <f aca="false">DEMAND_MODEL!AO11</f>
        <v>3225.6</v>
      </c>
    </row>
    <row r="10" customFormat="false" ht="15" hidden="false" customHeight="false" outlineLevel="0" collapsed="false">
      <c r="A10" s="53" t="str">
        <f aca="false">DEMAND_MODEL!A12</f>
        <v>SKU-004</v>
      </c>
      <c r="B10" s="52" t="str">
        <f aca="false">DEMAND_MODEL!B12</f>
        <v>Yoga Mat</v>
      </c>
      <c r="C10" s="75" t="n">
        <f aca="false">IFERROR(VLOOKUP(DEMAND_MODEL!A12,CONFIG!$A$27:$M$34,9,0),0)</f>
        <v>65</v>
      </c>
      <c r="D10" s="75" t="n">
        <f aca="false">IFERROR(VLOOKUP(DEMAND_MODEL!A12,CONFIG!$A$27:$M$34,10,0),0)</f>
        <v>45</v>
      </c>
      <c r="E10" s="75" t="n">
        <f aca="false">IFERROR(VLOOKUP(DEMAND_MODEL!A12,CONFIG!$A$27:$M$34,11,0),0)</f>
        <v>5</v>
      </c>
      <c r="F10" s="62" t="n">
        <f aca="false">DEMAND_MODEL!AH12</f>
        <v>0.014625</v>
      </c>
      <c r="G10" s="55" t="n">
        <f aca="false">DEMAND_MODEL!L12</f>
        <v>10</v>
      </c>
      <c r="H10" s="63" t="n">
        <f aca="false">DEMAND_MODEL!AI12</f>
        <v>0.14625</v>
      </c>
      <c r="I10" s="55" t="n">
        <f aca="false">DEMAND_MODEL!AB12</f>
        <v>130</v>
      </c>
      <c r="J10" s="55" t="n">
        <f aca="false">DEMAND_MODEL!AJ12</f>
        <v>1300</v>
      </c>
      <c r="K10" s="72" t="n">
        <f aca="false">DEMAND_MODEL!AK12</f>
        <v>19.0125</v>
      </c>
      <c r="L10" s="73" t="n">
        <f aca="false">DEMAND_MODEL!AL12</f>
        <v>1</v>
      </c>
      <c r="M10" s="74" t="n">
        <f aca="false">DEMAND_MODEL!AM12</f>
        <v>0.331372549019608</v>
      </c>
      <c r="N10" s="55" t="n">
        <f aca="false">DEMAND_MODEL!AO12</f>
        <v>3802.5</v>
      </c>
    </row>
    <row r="11" customFormat="false" ht="15" hidden="false" customHeight="false" outlineLevel="0" collapsed="false">
      <c r="A11" s="30" t="str">
        <f aca="false">DEMAND_MODEL!A13</f>
        <v>SKU-005</v>
      </c>
      <c r="B11" s="29" t="str">
        <f aca="false">DEMAND_MODEL!B13</f>
        <v>Phone Case</v>
      </c>
      <c r="C11" s="71" t="n">
        <f aca="false">IFERROR(VLOOKUP(DEMAND_MODEL!A13,CONFIG!$A$27:$M$34,9,0),0)</f>
        <v>18</v>
      </c>
      <c r="D11" s="71" t="n">
        <f aca="false">IFERROR(VLOOKUP(DEMAND_MODEL!A13,CONFIG!$A$27:$M$34,10,0),0)</f>
        <v>10</v>
      </c>
      <c r="E11" s="71" t="n">
        <f aca="false">IFERROR(VLOOKUP(DEMAND_MODEL!A13,CONFIG!$A$27:$M$34,11,0),0)</f>
        <v>2</v>
      </c>
      <c r="F11" s="46" t="n">
        <f aca="false">DEMAND_MODEL!AH13</f>
        <v>0.00036</v>
      </c>
      <c r="G11" s="33" t="n">
        <f aca="false">DEMAND_MODEL!L13</f>
        <v>24</v>
      </c>
      <c r="H11" s="47" t="n">
        <f aca="false">DEMAND_MODEL!AI13</f>
        <v>0.00864</v>
      </c>
      <c r="I11" s="33" t="n">
        <f aca="false">DEMAND_MODEL!AB13</f>
        <v>432</v>
      </c>
      <c r="J11" s="33" t="n">
        <f aca="false">DEMAND_MODEL!AJ13</f>
        <v>10368</v>
      </c>
      <c r="K11" s="72" t="n">
        <f aca="false">DEMAND_MODEL!AK13</f>
        <v>3.73248</v>
      </c>
      <c r="L11" s="73" t="n">
        <f aca="false">DEMAND_MODEL!AL13</f>
        <v>1</v>
      </c>
      <c r="M11" s="74" t="n">
        <f aca="false">DEMAND_MODEL!AM13</f>
        <v>0.0650541176470588</v>
      </c>
      <c r="N11" s="33" t="n">
        <f aca="false">DEMAND_MODEL!AO13</f>
        <v>746.496</v>
      </c>
    </row>
    <row r="12" customFormat="false" ht="15" hidden="false" customHeight="false" outlineLevel="0" collapsed="false">
      <c r="A12" s="53" t="str">
        <f aca="false">DEMAND_MODEL!A14</f>
        <v>SKU-006</v>
      </c>
      <c r="B12" s="52" t="str">
        <f aca="false">DEMAND_MODEL!B14</f>
        <v>Backpack</v>
      </c>
      <c r="C12" s="75" t="n">
        <f aca="false">IFERROR(VLOOKUP(DEMAND_MODEL!A14,CONFIG!$A$27:$M$34,9,0),0)</f>
        <v>55</v>
      </c>
      <c r="D12" s="75" t="n">
        <f aca="false">IFERROR(VLOOKUP(DEMAND_MODEL!A14,CONFIG!$A$27:$M$34,10,0),0)</f>
        <v>35</v>
      </c>
      <c r="E12" s="75" t="n">
        <f aca="false">IFERROR(VLOOKUP(DEMAND_MODEL!A14,CONFIG!$A$27:$M$34,11,0),0)</f>
        <v>20</v>
      </c>
      <c r="F12" s="62" t="n">
        <f aca="false">DEMAND_MODEL!AH14</f>
        <v>0.0385</v>
      </c>
      <c r="G12" s="55" t="n">
        <f aca="false">DEMAND_MODEL!L14</f>
        <v>2</v>
      </c>
      <c r="H12" s="63" t="n">
        <f aca="false">DEMAND_MODEL!AI14</f>
        <v>0.077</v>
      </c>
      <c r="I12" s="55" t="n">
        <f aca="false">DEMAND_MODEL!AB14</f>
        <v>60</v>
      </c>
      <c r="J12" s="55" t="n">
        <f aca="false">DEMAND_MODEL!AJ14</f>
        <v>120</v>
      </c>
      <c r="K12" s="72" t="n">
        <f aca="false">DEMAND_MODEL!AK14</f>
        <v>4.62</v>
      </c>
      <c r="L12" s="73" t="n">
        <f aca="false">DEMAND_MODEL!AL14</f>
        <v>1</v>
      </c>
      <c r="M12" s="74" t="n">
        <f aca="false">DEMAND_MODEL!AM14</f>
        <v>0.0805228758169935</v>
      </c>
      <c r="N12" s="55" t="n">
        <f aca="false">DEMAND_MODEL!AO14</f>
        <v>924</v>
      </c>
    </row>
    <row r="13" customFormat="false" ht="15" hidden="false" customHeight="false" outlineLevel="0" collapsed="false">
      <c r="A13" s="30" t="str">
        <f aca="false">DEMAND_MODEL!A15</f>
        <v>SKU-007</v>
      </c>
      <c r="B13" s="29" t="str">
        <f aca="false">DEMAND_MODEL!B15</f>
        <v>Sunglasses</v>
      </c>
      <c r="C13" s="71" t="n">
        <f aca="false">IFERROR(VLOOKUP(DEMAND_MODEL!A15,CONFIG!$A$27:$M$34,9,0),0)</f>
        <v>20</v>
      </c>
      <c r="D13" s="71" t="n">
        <f aca="false">IFERROR(VLOOKUP(DEMAND_MODEL!A15,CONFIG!$A$27:$M$34,10,0),0)</f>
        <v>15</v>
      </c>
      <c r="E13" s="71" t="n">
        <f aca="false">IFERROR(VLOOKUP(DEMAND_MODEL!A15,CONFIG!$A$27:$M$34,11,0),0)</f>
        <v>8</v>
      </c>
      <c r="F13" s="46" t="n">
        <f aca="false">DEMAND_MODEL!AH15</f>
        <v>0.0024</v>
      </c>
      <c r="G13" s="33" t="n">
        <f aca="false">DEMAND_MODEL!L15</f>
        <v>6</v>
      </c>
      <c r="H13" s="47" t="n">
        <f aca="false">DEMAND_MODEL!AI15</f>
        <v>0.0144</v>
      </c>
      <c r="I13" s="33" t="n">
        <f aca="false">DEMAND_MODEL!AB15</f>
        <v>252</v>
      </c>
      <c r="J13" s="33" t="n">
        <f aca="false">DEMAND_MODEL!AJ15</f>
        <v>1512</v>
      </c>
      <c r="K13" s="72" t="n">
        <f aca="false">DEMAND_MODEL!AK15</f>
        <v>3.6288</v>
      </c>
      <c r="L13" s="73" t="n">
        <f aca="false">DEMAND_MODEL!AL15</f>
        <v>1</v>
      </c>
      <c r="M13" s="74" t="n">
        <f aca="false">DEMAND_MODEL!AM15</f>
        <v>0.0632470588235294</v>
      </c>
      <c r="N13" s="33" t="n">
        <f aca="false">DEMAND_MODEL!AO15</f>
        <v>725.76</v>
      </c>
    </row>
    <row r="14" customFormat="false" ht="15" hidden="false" customHeight="false" outlineLevel="0" collapsed="false">
      <c r="A14" s="53" t="str">
        <f aca="false">DEMAND_MODEL!A16</f>
        <v>SKU-008</v>
      </c>
      <c r="B14" s="52" t="str">
        <f aca="false">DEMAND_MODEL!B16</f>
        <v>Laptop Stand</v>
      </c>
      <c r="C14" s="75" t="n">
        <f aca="false">IFERROR(VLOOKUP(DEMAND_MODEL!A16,CONFIG!$A$27:$M$34,9,0),0)</f>
        <v>40</v>
      </c>
      <c r="D14" s="75" t="n">
        <f aca="false">IFERROR(VLOOKUP(DEMAND_MODEL!A16,CONFIG!$A$27:$M$34,10,0),0)</f>
        <v>30</v>
      </c>
      <c r="E14" s="75" t="n">
        <f aca="false">IFERROR(VLOOKUP(DEMAND_MODEL!A16,CONFIG!$A$27:$M$34,11,0),0)</f>
        <v>8</v>
      </c>
      <c r="F14" s="62" t="n">
        <f aca="false">DEMAND_MODEL!AH16</f>
        <v>0.0096</v>
      </c>
      <c r="G14" s="55" t="n">
        <f aca="false">DEMAND_MODEL!L16</f>
        <v>4</v>
      </c>
      <c r="H14" s="63" t="n">
        <f aca="false">DEMAND_MODEL!AI16</f>
        <v>0.0384</v>
      </c>
      <c r="I14" s="55" t="n">
        <f aca="false">DEMAND_MODEL!AB16</f>
        <v>108</v>
      </c>
      <c r="J14" s="55" t="n">
        <f aca="false">DEMAND_MODEL!AJ16</f>
        <v>432</v>
      </c>
      <c r="K14" s="72" t="n">
        <f aca="false">DEMAND_MODEL!AK16</f>
        <v>4.1472</v>
      </c>
      <c r="L14" s="73" t="n">
        <f aca="false">DEMAND_MODEL!AL16</f>
        <v>1</v>
      </c>
      <c r="M14" s="74" t="n">
        <f aca="false">DEMAND_MODEL!AM16</f>
        <v>0.0722823529411765</v>
      </c>
      <c r="N14" s="55" t="n">
        <f aca="false">DEMAND_MODEL!AO16</f>
        <v>829.44</v>
      </c>
    </row>
    <row r="16" customFormat="false" ht="15" hidden="false" customHeight="false" outlineLevel="0" collapsed="false">
      <c r="A16" s="69" t="s">
        <v>91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</row>
    <row r="17" customFormat="false" ht="31.5" hidden="false" customHeight="true" outlineLevel="0" collapsed="false">
      <c r="A17" s="27" t="s">
        <v>25</v>
      </c>
      <c r="B17" s="27" t="s">
        <v>26</v>
      </c>
      <c r="C17" s="27" t="s">
        <v>92</v>
      </c>
      <c r="D17" s="27" t="s">
        <v>93</v>
      </c>
      <c r="E17" s="27" t="s">
        <v>94</v>
      </c>
      <c r="F17" s="27" t="s">
        <v>95</v>
      </c>
      <c r="G17" s="27" t="s">
        <v>96</v>
      </c>
      <c r="H17" s="27" t="s">
        <v>97</v>
      </c>
      <c r="I17" s="27" t="s">
        <v>98</v>
      </c>
      <c r="J17" s="27" t="s">
        <v>99</v>
      </c>
      <c r="K17" s="27" t="s">
        <v>100</v>
      </c>
      <c r="L17" s="27" t="s">
        <v>101</v>
      </c>
      <c r="M17" s="27" t="s">
        <v>102</v>
      </c>
      <c r="N17" s="27" t="s">
        <v>103</v>
      </c>
    </row>
    <row r="18" customFormat="false" ht="15" hidden="false" customHeight="false" outlineLevel="0" collapsed="false">
      <c r="A18" s="30" t="str">
        <f aca="false">DEMAND_MODEL!A9</f>
        <v>SKU-001</v>
      </c>
      <c r="B18" s="29" t="str">
        <f aca="false">DEMAND_MODEL!B9</f>
        <v>Wireless Earbuds</v>
      </c>
      <c r="C18" s="44" t="n">
        <f aca="false">IFERROR(MIN(DEMAND_MODEL!AK9,CONFIG!$B$40),0)</f>
        <v>2.16</v>
      </c>
      <c r="D18" s="76" t="n">
        <f aca="false">IFERROR(Q18/CONFIG!$B$40,0)</f>
        <v>0</v>
      </c>
      <c r="E18" s="44" t="n">
        <f aca="false">IFERROR(MAX(0,MIN(DEMAND_MODEL!AK9-CONFIG!$B$40,CONFIG!$B$40)),0)</f>
        <v>0</v>
      </c>
      <c r="F18" s="76" t="n">
        <f aca="false">IFERROR(IF(S18=0,0,S18/CONFIG!$B$40),0)</f>
        <v>0</v>
      </c>
      <c r="G18" s="44" t="n">
        <f aca="false">IFERROR(MAX(0,DEMAND_MODEL!AK9-2*CONFIG!$B$40),0)</f>
        <v>0</v>
      </c>
      <c r="H18" s="76" t="n">
        <f aca="false">IFERROR(IF(U18=0,0,U18/CONFIG!$B$40),0)</f>
        <v>0</v>
      </c>
      <c r="I18" s="42" t="str">
        <f aca="false">IFERROR(IF(DEMAND_MODEL!AL9&lt;=1,"Single container",IF(DEMAND_MODEL!AM9&lt;0.5,"Yes — consolidate","No — well loaded")),"")</f>
        <v>Single container</v>
      </c>
      <c r="J18" s="44" t="n">
        <f aca="false">IFERROR(DEMAND_MODEL!AL9*CONFIG!$B$40-DEMAND_MODEL!AK9,0)</f>
        <v>55.215</v>
      </c>
      <c r="K18" s="33" t="n">
        <f aca="false">DEMAND_MODEL!AL9</f>
        <v>1</v>
      </c>
      <c r="L18" s="37" t="n">
        <f aca="false">IFERROR(DEMAND_MODEL!AL9,0)</f>
        <v>1</v>
      </c>
      <c r="M18" s="37" t="n">
        <f aca="false">IFERROR(IF(AB18=0,0,FLOOR(AC18/DEMAND_MODEL!AH9,DEMAND_MODEL!L9)),0)</f>
        <v>0</v>
      </c>
      <c r="N18" s="77" t="s">
        <v>104</v>
      </c>
    </row>
    <row r="19" customFormat="false" ht="15" hidden="false" customHeight="false" outlineLevel="0" collapsed="false">
      <c r="A19" s="53" t="str">
        <f aca="false">DEMAND_MODEL!A10</f>
        <v>SKU-002</v>
      </c>
      <c r="B19" s="52" t="str">
        <f aca="false">DEMAND_MODEL!B10</f>
        <v>Running Shoes</v>
      </c>
      <c r="C19" s="60" t="n">
        <f aca="false">IFERROR(MIN(DEMAND_MODEL!AK10,CONFIG!$B$40),0)</f>
        <v>4.4352</v>
      </c>
      <c r="D19" s="78" t="n">
        <f aca="false">IFERROR(Q19/CONFIG!$B$40,0)</f>
        <v>0</v>
      </c>
      <c r="E19" s="60" t="n">
        <f aca="false">IFERROR(MAX(0,MIN(DEMAND_MODEL!AK10-CONFIG!$B$40,CONFIG!$B$40)),0)</f>
        <v>0</v>
      </c>
      <c r="F19" s="78" t="n">
        <f aca="false">IFERROR(IF(S19=0,0,S19/CONFIG!$B$40),0)</f>
        <v>0</v>
      </c>
      <c r="G19" s="60" t="n">
        <f aca="false">IFERROR(MAX(0,DEMAND_MODEL!AK10-2*CONFIG!$B$40),0)</f>
        <v>0</v>
      </c>
      <c r="H19" s="78" t="n">
        <f aca="false">IFERROR(IF(U19=0,0,U19/CONFIG!$B$40),0)</f>
        <v>0</v>
      </c>
      <c r="I19" s="79" t="str">
        <f aca="false">IFERROR(IF(DEMAND_MODEL!AL10&lt;=1,"Single container",IF(DEMAND_MODEL!AM10&lt;0.5,"Yes — consolidate","No — well loaded")),"")</f>
        <v>Single container</v>
      </c>
      <c r="J19" s="60" t="n">
        <f aca="false">IFERROR(DEMAND_MODEL!AL10*CONFIG!$B$40-DEMAND_MODEL!AK10,0)</f>
        <v>52.9398</v>
      </c>
      <c r="K19" s="55" t="n">
        <f aca="false">DEMAND_MODEL!AL10</f>
        <v>1</v>
      </c>
      <c r="L19" s="57" t="n">
        <f aca="false">IFERROR(DEMAND_MODEL!AL10,0)</f>
        <v>1</v>
      </c>
      <c r="M19" s="57" t="n">
        <f aca="false">IFERROR(IF(AB19=0,0,FLOOR(AC19/DEMAND_MODEL!AH10,DEMAND_MODEL!L10)),0)</f>
        <v>0</v>
      </c>
      <c r="N19" s="80" t="s">
        <v>104</v>
      </c>
    </row>
    <row r="20" customFormat="false" ht="15" hidden="false" customHeight="false" outlineLevel="0" collapsed="false">
      <c r="A20" s="30" t="str">
        <f aca="false">DEMAND_MODEL!A11</f>
        <v>SKU-003</v>
      </c>
      <c r="B20" s="29" t="str">
        <f aca="false">DEMAND_MODEL!B11</f>
        <v>Water Bottle</v>
      </c>
      <c r="C20" s="44" t="n">
        <f aca="false">IFERROR(MIN(DEMAND_MODEL!AK11,CONFIG!$B$40),0)</f>
        <v>16.128</v>
      </c>
      <c r="D20" s="76" t="n">
        <f aca="false">IFERROR(Q20/CONFIG!$B$40,0)</f>
        <v>0</v>
      </c>
      <c r="E20" s="44" t="n">
        <f aca="false">IFERROR(MAX(0,MIN(DEMAND_MODEL!AK11-CONFIG!$B$40,CONFIG!$B$40)),0)</f>
        <v>0</v>
      </c>
      <c r="F20" s="76" t="n">
        <f aca="false">IFERROR(IF(S20=0,0,S20/CONFIG!$B$40),0)</f>
        <v>0</v>
      </c>
      <c r="G20" s="44" t="n">
        <f aca="false">IFERROR(MAX(0,DEMAND_MODEL!AK11-2*CONFIG!$B$40),0)</f>
        <v>0</v>
      </c>
      <c r="H20" s="76" t="n">
        <f aca="false">IFERROR(IF(U20=0,0,U20/CONFIG!$B$40),0)</f>
        <v>0</v>
      </c>
      <c r="I20" s="42" t="str">
        <f aca="false">IFERROR(IF(DEMAND_MODEL!AL11&lt;=1,"Single container",IF(DEMAND_MODEL!AM11&lt;0.5,"Yes — consolidate","No — well loaded")),"")</f>
        <v>Single container</v>
      </c>
      <c r="J20" s="44" t="n">
        <f aca="false">IFERROR(DEMAND_MODEL!AL11*CONFIG!$B$40-DEMAND_MODEL!AK11,0)</f>
        <v>41.247</v>
      </c>
      <c r="K20" s="33" t="n">
        <f aca="false">DEMAND_MODEL!AL11</f>
        <v>1</v>
      </c>
      <c r="L20" s="37" t="n">
        <f aca="false">IFERROR(DEMAND_MODEL!AL11,0)</f>
        <v>1</v>
      </c>
      <c r="M20" s="37" t="n">
        <f aca="false">IFERROR(IF(AB20=0,0,FLOOR(AC20/DEMAND_MODEL!AH11,DEMAND_MODEL!L11)),0)</f>
        <v>0</v>
      </c>
      <c r="N20" s="77" t="s">
        <v>104</v>
      </c>
    </row>
    <row r="21" customFormat="false" ht="15" hidden="false" customHeight="false" outlineLevel="0" collapsed="false">
      <c r="A21" s="53" t="str">
        <f aca="false">DEMAND_MODEL!A12</f>
        <v>SKU-004</v>
      </c>
      <c r="B21" s="52" t="str">
        <f aca="false">DEMAND_MODEL!B12</f>
        <v>Yoga Mat</v>
      </c>
      <c r="C21" s="60" t="n">
        <f aca="false">IFERROR(MIN(DEMAND_MODEL!AK12,CONFIG!$B$40),0)</f>
        <v>19.0125</v>
      </c>
      <c r="D21" s="78" t="n">
        <f aca="false">IFERROR(Q21/CONFIG!$B$40,0)</f>
        <v>0</v>
      </c>
      <c r="E21" s="60" t="n">
        <f aca="false">IFERROR(MAX(0,MIN(DEMAND_MODEL!AK12-CONFIG!$B$40,CONFIG!$B$40)),0)</f>
        <v>0</v>
      </c>
      <c r="F21" s="78" t="n">
        <f aca="false">IFERROR(IF(S21=0,0,S21/CONFIG!$B$40),0)</f>
        <v>0</v>
      </c>
      <c r="G21" s="60" t="n">
        <f aca="false">IFERROR(MAX(0,DEMAND_MODEL!AK12-2*CONFIG!$B$40),0)</f>
        <v>0</v>
      </c>
      <c r="H21" s="78" t="n">
        <f aca="false">IFERROR(IF(U21=0,0,U21/CONFIG!$B$40),0)</f>
        <v>0</v>
      </c>
      <c r="I21" s="79" t="str">
        <f aca="false">IFERROR(IF(DEMAND_MODEL!AL12&lt;=1,"Single container",IF(DEMAND_MODEL!AM12&lt;0.5,"Yes — consolidate","No — well loaded")),"")</f>
        <v>Single container</v>
      </c>
      <c r="J21" s="60" t="n">
        <f aca="false">IFERROR(DEMAND_MODEL!AL12*CONFIG!$B$40-DEMAND_MODEL!AK12,0)</f>
        <v>38.3625</v>
      </c>
      <c r="K21" s="55" t="n">
        <f aca="false">DEMAND_MODEL!AL12</f>
        <v>1</v>
      </c>
      <c r="L21" s="57" t="n">
        <f aca="false">IFERROR(DEMAND_MODEL!AL12,0)</f>
        <v>1</v>
      </c>
      <c r="M21" s="57" t="n">
        <f aca="false">IFERROR(IF(AB21=0,0,FLOOR(AC21/DEMAND_MODEL!AH12,DEMAND_MODEL!L12)),0)</f>
        <v>0</v>
      </c>
      <c r="N21" s="80" t="s">
        <v>104</v>
      </c>
    </row>
    <row r="22" customFormat="false" ht="15" hidden="false" customHeight="false" outlineLevel="0" collapsed="false">
      <c r="A22" s="30" t="str">
        <f aca="false">DEMAND_MODEL!A13</f>
        <v>SKU-005</v>
      </c>
      <c r="B22" s="29" t="str">
        <f aca="false">DEMAND_MODEL!B13</f>
        <v>Phone Case</v>
      </c>
      <c r="C22" s="44" t="n">
        <f aca="false">IFERROR(MIN(DEMAND_MODEL!AK13,CONFIG!$B$40),0)</f>
        <v>3.73248</v>
      </c>
      <c r="D22" s="76" t="n">
        <f aca="false">IFERROR(Q22/CONFIG!$B$40,0)</f>
        <v>0</v>
      </c>
      <c r="E22" s="44" t="n">
        <f aca="false">IFERROR(MAX(0,MIN(DEMAND_MODEL!AK13-CONFIG!$B$40,CONFIG!$B$40)),0)</f>
        <v>0</v>
      </c>
      <c r="F22" s="76" t="n">
        <f aca="false">IFERROR(IF(S22=0,0,S22/CONFIG!$B$40),0)</f>
        <v>0</v>
      </c>
      <c r="G22" s="44" t="n">
        <f aca="false">IFERROR(MAX(0,DEMAND_MODEL!AK13-2*CONFIG!$B$40),0)</f>
        <v>0</v>
      </c>
      <c r="H22" s="76" t="n">
        <f aca="false">IFERROR(IF(U22=0,0,U22/CONFIG!$B$40),0)</f>
        <v>0</v>
      </c>
      <c r="I22" s="42" t="str">
        <f aca="false">IFERROR(IF(DEMAND_MODEL!AL13&lt;=1,"Single container",IF(DEMAND_MODEL!AM13&lt;0.5,"Yes — consolidate","No — well loaded")),"")</f>
        <v>Single container</v>
      </c>
      <c r="J22" s="44" t="n">
        <f aca="false">IFERROR(DEMAND_MODEL!AL13*CONFIG!$B$40-DEMAND_MODEL!AK13,0)</f>
        <v>53.64252</v>
      </c>
      <c r="K22" s="33" t="n">
        <f aca="false">DEMAND_MODEL!AL13</f>
        <v>1</v>
      </c>
      <c r="L22" s="37" t="n">
        <f aca="false">IFERROR(DEMAND_MODEL!AL13,0)</f>
        <v>1</v>
      </c>
      <c r="M22" s="37" t="n">
        <f aca="false">IFERROR(IF(AB22=0,0,FLOOR(AC22/DEMAND_MODEL!AH13,DEMAND_MODEL!L13)),0)</f>
        <v>0</v>
      </c>
      <c r="N22" s="77" t="s">
        <v>104</v>
      </c>
    </row>
    <row r="23" customFormat="false" ht="15" hidden="false" customHeight="false" outlineLevel="0" collapsed="false">
      <c r="A23" s="53" t="str">
        <f aca="false">DEMAND_MODEL!A14</f>
        <v>SKU-006</v>
      </c>
      <c r="B23" s="52" t="str">
        <f aca="false">DEMAND_MODEL!B14</f>
        <v>Backpack</v>
      </c>
      <c r="C23" s="60" t="n">
        <f aca="false">IFERROR(MIN(DEMAND_MODEL!AK14,CONFIG!$B$40),0)</f>
        <v>4.62</v>
      </c>
      <c r="D23" s="78" t="n">
        <f aca="false">IFERROR(Q23/CONFIG!$B$40,0)</f>
        <v>0</v>
      </c>
      <c r="E23" s="60" t="n">
        <f aca="false">IFERROR(MAX(0,MIN(DEMAND_MODEL!AK14-CONFIG!$B$40,CONFIG!$B$40)),0)</f>
        <v>0</v>
      </c>
      <c r="F23" s="78" t="n">
        <f aca="false">IFERROR(IF(S23=0,0,S23/CONFIG!$B$40),0)</f>
        <v>0</v>
      </c>
      <c r="G23" s="60" t="n">
        <f aca="false">IFERROR(MAX(0,DEMAND_MODEL!AK14-2*CONFIG!$B$40),0)</f>
        <v>0</v>
      </c>
      <c r="H23" s="78" t="n">
        <f aca="false">IFERROR(IF(U23=0,0,U23/CONFIG!$B$40),0)</f>
        <v>0</v>
      </c>
      <c r="I23" s="79" t="str">
        <f aca="false">IFERROR(IF(DEMAND_MODEL!AL14&lt;=1,"Single container",IF(DEMAND_MODEL!AM14&lt;0.5,"Yes — consolidate","No — well loaded")),"")</f>
        <v>Single container</v>
      </c>
      <c r="J23" s="60" t="n">
        <f aca="false">IFERROR(DEMAND_MODEL!AL14*CONFIG!$B$40-DEMAND_MODEL!AK14,0)</f>
        <v>52.755</v>
      </c>
      <c r="K23" s="55" t="n">
        <f aca="false">DEMAND_MODEL!AL14</f>
        <v>1</v>
      </c>
      <c r="L23" s="57" t="n">
        <f aca="false">IFERROR(DEMAND_MODEL!AL14,0)</f>
        <v>1</v>
      </c>
      <c r="M23" s="57" t="n">
        <f aca="false">IFERROR(IF(AB23=0,0,FLOOR(AC23/DEMAND_MODEL!AH14,DEMAND_MODEL!L14)),0)</f>
        <v>0</v>
      </c>
      <c r="N23" s="80" t="s">
        <v>104</v>
      </c>
    </row>
    <row r="24" customFormat="false" ht="15" hidden="false" customHeight="false" outlineLevel="0" collapsed="false">
      <c r="A24" s="30" t="str">
        <f aca="false">DEMAND_MODEL!A15</f>
        <v>SKU-007</v>
      </c>
      <c r="B24" s="29" t="str">
        <f aca="false">DEMAND_MODEL!B15</f>
        <v>Sunglasses</v>
      </c>
      <c r="C24" s="44" t="n">
        <f aca="false">IFERROR(MIN(DEMAND_MODEL!AK15,CONFIG!$B$40),0)</f>
        <v>3.6288</v>
      </c>
      <c r="D24" s="76" t="n">
        <f aca="false">IFERROR(Q24/CONFIG!$B$40,0)</f>
        <v>0</v>
      </c>
      <c r="E24" s="44" t="n">
        <f aca="false">IFERROR(MAX(0,MIN(DEMAND_MODEL!AK15-CONFIG!$B$40,CONFIG!$B$40)),0)</f>
        <v>0</v>
      </c>
      <c r="F24" s="76" t="n">
        <f aca="false">IFERROR(IF(S24=0,0,S24/CONFIG!$B$40),0)</f>
        <v>0</v>
      </c>
      <c r="G24" s="44" t="n">
        <f aca="false">IFERROR(MAX(0,DEMAND_MODEL!AK15-2*CONFIG!$B$40),0)</f>
        <v>0</v>
      </c>
      <c r="H24" s="76" t="n">
        <f aca="false">IFERROR(IF(U24=0,0,U24/CONFIG!$B$40),0)</f>
        <v>0</v>
      </c>
      <c r="I24" s="42" t="str">
        <f aca="false">IFERROR(IF(DEMAND_MODEL!AL15&lt;=1,"Single container",IF(DEMAND_MODEL!AM15&lt;0.5,"Yes — consolidate","No — well loaded")),"")</f>
        <v>Single container</v>
      </c>
      <c r="J24" s="44" t="n">
        <f aca="false">IFERROR(DEMAND_MODEL!AL15*CONFIG!$B$40-DEMAND_MODEL!AK15,0)</f>
        <v>53.7462</v>
      </c>
      <c r="K24" s="33" t="n">
        <f aca="false">DEMAND_MODEL!AL15</f>
        <v>1</v>
      </c>
      <c r="L24" s="37" t="n">
        <f aca="false">IFERROR(DEMAND_MODEL!AL15,0)</f>
        <v>1</v>
      </c>
      <c r="M24" s="37" t="n">
        <f aca="false">IFERROR(IF(AB24=0,0,FLOOR(AC24/DEMAND_MODEL!AH15,DEMAND_MODEL!L15)),0)</f>
        <v>0</v>
      </c>
      <c r="N24" s="77" t="s">
        <v>104</v>
      </c>
    </row>
    <row r="25" customFormat="false" ht="15" hidden="false" customHeight="false" outlineLevel="0" collapsed="false">
      <c r="A25" s="53" t="str">
        <f aca="false">DEMAND_MODEL!A16</f>
        <v>SKU-008</v>
      </c>
      <c r="B25" s="52" t="str">
        <f aca="false">DEMAND_MODEL!B16</f>
        <v>Laptop Stand</v>
      </c>
      <c r="C25" s="60" t="n">
        <f aca="false">IFERROR(MIN(DEMAND_MODEL!AK16,CONFIG!$B$40),0)</f>
        <v>4.1472</v>
      </c>
      <c r="D25" s="78" t="n">
        <f aca="false">IFERROR(Q25/CONFIG!$B$40,0)</f>
        <v>0</v>
      </c>
      <c r="E25" s="60" t="n">
        <f aca="false">IFERROR(MAX(0,MIN(DEMAND_MODEL!AK16-CONFIG!$B$40,CONFIG!$B$40)),0)</f>
        <v>0</v>
      </c>
      <c r="F25" s="78" t="n">
        <f aca="false">IFERROR(IF(S25=0,0,S25/CONFIG!$B$40),0)</f>
        <v>0</v>
      </c>
      <c r="G25" s="60" t="n">
        <f aca="false">IFERROR(MAX(0,DEMAND_MODEL!AK16-2*CONFIG!$B$40),0)</f>
        <v>0</v>
      </c>
      <c r="H25" s="78" t="n">
        <f aca="false">IFERROR(IF(U25=0,0,U25/CONFIG!$B$40),0)</f>
        <v>0</v>
      </c>
      <c r="I25" s="79" t="str">
        <f aca="false">IFERROR(IF(DEMAND_MODEL!AL16&lt;=1,"Single container",IF(DEMAND_MODEL!AM16&lt;0.5,"Yes — consolidate","No — well loaded")),"")</f>
        <v>Single container</v>
      </c>
      <c r="J25" s="60" t="n">
        <f aca="false">IFERROR(DEMAND_MODEL!AL16*CONFIG!$B$40-DEMAND_MODEL!AK16,0)</f>
        <v>53.2278</v>
      </c>
      <c r="K25" s="55" t="n">
        <f aca="false">DEMAND_MODEL!AL16</f>
        <v>1</v>
      </c>
      <c r="L25" s="57" t="n">
        <f aca="false">IFERROR(DEMAND_MODEL!AL16,0)</f>
        <v>1</v>
      </c>
      <c r="M25" s="57" t="n">
        <f aca="false">IFERROR(IF(AB25=0,0,FLOOR(AC25/DEMAND_MODEL!AH16,DEMAND_MODEL!L16)),0)</f>
        <v>0</v>
      </c>
      <c r="N25" s="80" t="s">
        <v>104</v>
      </c>
    </row>
  </sheetData>
  <mergeCells count="15">
    <mergeCell ref="A1:N1"/>
    <mergeCell ref="A2:B2"/>
    <mergeCell ref="C2:D2"/>
    <mergeCell ref="E2:F2"/>
    <mergeCell ref="G2:H2"/>
    <mergeCell ref="I2:J2"/>
    <mergeCell ref="K2:L2"/>
    <mergeCell ref="A3:B3"/>
    <mergeCell ref="C3:D3"/>
    <mergeCell ref="E3:F3"/>
    <mergeCell ref="G3:H3"/>
    <mergeCell ref="I3:J3"/>
    <mergeCell ref="K3:L3"/>
    <mergeCell ref="A5:N5"/>
    <mergeCell ref="A16:N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8" min="4" style="1" width="16"/>
    <col collapsed="false" customWidth="true" hidden="false" outlineLevel="0" max="13" min="9" style="0" width="16"/>
  </cols>
  <sheetData>
    <row r="1" customFormat="false" ht="25.5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69" t="s">
        <v>106</v>
      </c>
      <c r="B3" s="69"/>
      <c r="C3" s="69"/>
    </row>
    <row r="4" customFormat="false" ht="15" hidden="false" customHeight="true" outlineLevel="0" collapsed="false">
      <c r="A4" s="81" t="s">
        <v>107</v>
      </c>
      <c r="B4" s="82" t="n">
        <v>30</v>
      </c>
      <c r="C4" s="77" t="s">
        <v>108</v>
      </c>
    </row>
    <row r="5" customFormat="false" ht="15" hidden="false" customHeight="true" outlineLevel="0" collapsed="false">
      <c r="A5" s="83" t="s">
        <v>109</v>
      </c>
      <c r="B5" s="82" t="n">
        <v>7</v>
      </c>
      <c r="C5" s="80" t="s">
        <v>108</v>
      </c>
    </row>
    <row r="6" customFormat="false" ht="15" hidden="false" customHeight="true" outlineLevel="0" collapsed="false">
      <c r="A6" s="81" t="s">
        <v>110</v>
      </c>
      <c r="B6" s="82" t="n">
        <v>28</v>
      </c>
      <c r="C6" s="77" t="s">
        <v>108</v>
      </c>
    </row>
    <row r="7" customFormat="false" ht="15" hidden="false" customHeight="true" outlineLevel="0" collapsed="false">
      <c r="A7" s="83" t="s">
        <v>111</v>
      </c>
      <c r="B7" s="82" t="n">
        <v>5</v>
      </c>
      <c r="C7" s="80" t="s">
        <v>108</v>
      </c>
    </row>
    <row r="8" customFormat="false" ht="15" hidden="false" customHeight="true" outlineLevel="0" collapsed="false">
      <c r="A8" s="81" t="s">
        <v>112</v>
      </c>
      <c r="B8" s="82" t="n">
        <v>2</v>
      </c>
      <c r="C8" s="77" t="s">
        <v>108</v>
      </c>
    </row>
    <row r="9" customFormat="false" ht="15" hidden="false" customHeight="true" outlineLevel="0" collapsed="false">
      <c r="A9" s="83" t="s">
        <v>113</v>
      </c>
      <c r="B9" s="84" t="n">
        <f aca="false">SUM(B4:B8)</f>
        <v>72</v>
      </c>
      <c r="C9" s="80" t="s">
        <v>114</v>
      </c>
    </row>
    <row r="10" customFormat="false" ht="15" hidden="false" customHeight="true" outlineLevel="0" collapsed="false">
      <c r="A10" s="81" t="s">
        <v>115</v>
      </c>
      <c r="B10" s="82" t="n">
        <v>14</v>
      </c>
      <c r="C10" s="77" t="s">
        <v>108</v>
      </c>
    </row>
    <row r="12" customFormat="false" ht="15" hidden="false" customHeight="true" outlineLevel="0" collapsed="false">
      <c r="A12" s="69" t="s">
        <v>116</v>
      </c>
      <c r="B12" s="69"/>
      <c r="C12" s="69"/>
    </row>
    <row r="13" customFormat="false" ht="15" hidden="false" customHeight="true" outlineLevel="0" collapsed="false">
      <c r="A13" s="81" t="s">
        <v>117</v>
      </c>
      <c r="B13" s="82" t="n">
        <v>15</v>
      </c>
      <c r="C13" s="77" t="s">
        <v>118</v>
      </c>
    </row>
    <row r="14" customFormat="false" ht="15" hidden="false" customHeight="true" outlineLevel="0" collapsed="false">
      <c r="A14" s="83" t="s">
        <v>119</v>
      </c>
      <c r="B14" s="82" t="n">
        <v>90</v>
      </c>
      <c r="C14" s="80" t="s">
        <v>120</v>
      </c>
    </row>
    <row r="15" customFormat="false" ht="15" hidden="false" customHeight="true" outlineLevel="0" collapsed="false">
      <c r="A15" s="81" t="s">
        <v>121</v>
      </c>
      <c r="B15" s="84" t="n">
        <f aca="false">B13</f>
        <v>15</v>
      </c>
      <c r="C15" s="77" t="s">
        <v>122</v>
      </c>
    </row>
    <row r="16" customFormat="false" ht="15" hidden="false" customHeight="true" outlineLevel="0" collapsed="false">
      <c r="A16" s="83" t="s">
        <v>123</v>
      </c>
      <c r="B16" s="84" t="n">
        <f aca="false">B9+B13</f>
        <v>87</v>
      </c>
      <c r="C16" s="80" t="s">
        <v>124</v>
      </c>
    </row>
    <row r="17" customFormat="false" ht="15" hidden="false" customHeight="true" outlineLevel="0" collapsed="false">
      <c r="A17" s="81" t="s">
        <v>125</v>
      </c>
      <c r="B17" s="82" t="n">
        <v>45</v>
      </c>
      <c r="C17" s="77" t="s">
        <v>126</v>
      </c>
    </row>
    <row r="19" customFormat="false" ht="15" hidden="false" customHeight="true" outlineLevel="0" collapsed="false">
      <c r="A19" s="69" t="s">
        <v>127</v>
      </c>
      <c r="B19" s="69"/>
      <c r="C19" s="69"/>
    </row>
    <row r="20" customFormat="false" ht="15" hidden="false" customHeight="true" outlineLevel="0" collapsed="false">
      <c r="A20" s="81" t="s">
        <v>128</v>
      </c>
      <c r="B20" s="85" t="n">
        <v>0.5</v>
      </c>
      <c r="C20" s="77" t="s">
        <v>129</v>
      </c>
    </row>
    <row r="21" customFormat="false" ht="15" hidden="false" customHeight="true" outlineLevel="0" collapsed="false">
      <c r="A21" s="83" t="s">
        <v>130</v>
      </c>
      <c r="B21" s="85" t="n">
        <v>0.3</v>
      </c>
      <c r="C21" s="80" t="s">
        <v>131</v>
      </c>
    </row>
    <row r="22" customFormat="false" ht="15" hidden="false" customHeight="true" outlineLevel="0" collapsed="false">
      <c r="A22" s="81" t="s">
        <v>132</v>
      </c>
      <c r="B22" s="85" t="n">
        <v>0.2</v>
      </c>
      <c r="C22" s="77" t="s">
        <v>133</v>
      </c>
    </row>
    <row r="23" customFormat="false" ht="15" hidden="false" customHeight="true" outlineLevel="0" collapsed="false">
      <c r="A23" s="83" t="s">
        <v>134</v>
      </c>
      <c r="B23" s="86" t="n">
        <f aca="false">B20+B21+B22</f>
        <v>1</v>
      </c>
      <c r="C23" s="80" t="s">
        <v>135</v>
      </c>
    </row>
    <row r="25" customFormat="false" ht="15" hidden="false" customHeight="true" outlineLevel="0" collapsed="false">
      <c r="A25" s="69" t="s">
        <v>136</v>
      </c>
      <c r="B25" s="69"/>
      <c r="C25" s="69"/>
      <c r="D25" s="69"/>
      <c r="E25" s="69"/>
      <c r="F25" s="69"/>
      <c r="G25" s="69"/>
      <c r="H25" s="69"/>
    </row>
    <row r="26" customFormat="false" ht="31.5" hidden="false" customHeight="true" outlineLevel="0" collapsed="false">
      <c r="A26" s="87" t="s">
        <v>137</v>
      </c>
      <c r="B26" s="87" t="s">
        <v>138</v>
      </c>
      <c r="C26" s="87" t="s">
        <v>139</v>
      </c>
      <c r="D26" s="87" t="s">
        <v>140</v>
      </c>
      <c r="E26" s="87" t="s">
        <v>141</v>
      </c>
      <c r="F26" s="87" t="s">
        <v>142</v>
      </c>
      <c r="G26" s="87" t="s">
        <v>27</v>
      </c>
      <c r="H26" s="87" t="s">
        <v>143</v>
      </c>
      <c r="I26" s="70" t="s">
        <v>144</v>
      </c>
      <c r="J26" s="70" t="s">
        <v>145</v>
      </c>
      <c r="K26" s="70" t="s">
        <v>146</v>
      </c>
      <c r="L26" s="70" t="s">
        <v>147</v>
      </c>
      <c r="M26" s="70" t="s">
        <v>148</v>
      </c>
    </row>
    <row r="27" customFormat="false" ht="15" hidden="false" customHeight="true" outlineLevel="0" collapsed="false">
      <c r="A27" s="28" t="s">
        <v>66</v>
      </c>
      <c r="B27" s="81" t="s">
        <v>149</v>
      </c>
      <c r="C27" s="28" t="n">
        <v>6</v>
      </c>
      <c r="D27" s="28" t="n">
        <v>12</v>
      </c>
      <c r="E27" s="29" t="s">
        <v>150</v>
      </c>
      <c r="F27" s="88"/>
      <c r="G27" s="81" t="s">
        <v>151</v>
      </c>
      <c r="H27" s="28" t="s">
        <v>152</v>
      </c>
      <c r="I27" s="89" t="n">
        <v>15</v>
      </c>
      <c r="J27" s="89" t="n">
        <v>10</v>
      </c>
      <c r="K27" s="89" t="n">
        <v>8</v>
      </c>
      <c r="L27" s="90" t="n">
        <f aca="false">IFERROR((I27*J27*K27)/1000000,0)</f>
        <v>0.0012</v>
      </c>
      <c r="M27" s="91" t="n">
        <f aca="false">IFERROR(L27*C27,0)</f>
        <v>0.0072</v>
      </c>
    </row>
    <row r="28" customFormat="false" ht="15" hidden="false" customHeight="true" outlineLevel="0" collapsed="false">
      <c r="A28" s="51" t="s">
        <v>67</v>
      </c>
      <c r="B28" s="83" t="s">
        <v>153</v>
      </c>
      <c r="C28" s="51" t="n">
        <v>4</v>
      </c>
      <c r="D28" s="51" t="n">
        <v>8</v>
      </c>
      <c r="E28" s="52" t="s">
        <v>154</v>
      </c>
      <c r="F28" s="92" t="n">
        <v>45</v>
      </c>
      <c r="G28" s="83" t="s">
        <v>155</v>
      </c>
      <c r="H28" s="51" t="s">
        <v>152</v>
      </c>
      <c r="I28" s="93" t="n">
        <v>35</v>
      </c>
      <c r="J28" s="93" t="n">
        <v>22</v>
      </c>
      <c r="K28" s="93" t="n">
        <v>15</v>
      </c>
      <c r="L28" s="90" t="n">
        <f aca="false">IFERROR((I28*J28*K28)/1000000,0)</f>
        <v>0.01155</v>
      </c>
      <c r="M28" s="91" t="n">
        <f aca="false">IFERROR(L28*C28,0)</f>
        <v>0.0462</v>
      </c>
    </row>
    <row r="29" customFormat="false" ht="15" hidden="false" customHeight="true" outlineLevel="0" collapsed="false">
      <c r="A29" s="28" t="s">
        <v>68</v>
      </c>
      <c r="B29" s="81" t="s">
        <v>156</v>
      </c>
      <c r="C29" s="28" t="n">
        <v>12</v>
      </c>
      <c r="D29" s="28" t="n">
        <v>24</v>
      </c>
      <c r="E29" s="29" t="s">
        <v>157</v>
      </c>
      <c r="F29" s="88"/>
      <c r="G29" s="81" t="s">
        <v>158</v>
      </c>
      <c r="H29" s="28" t="s">
        <v>152</v>
      </c>
      <c r="I29" s="89" t="n">
        <v>28</v>
      </c>
      <c r="J29" s="89" t="n">
        <v>10</v>
      </c>
      <c r="K29" s="89" t="n">
        <v>10</v>
      </c>
      <c r="L29" s="90" t="n">
        <f aca="false">IFERROR((I29*J29*K29)/1000000,0)</f>
        <v>0.0028</v>
      </c>
      <c r="M29" s="91" t="n">
        <f aca="false">IFERROR(L29*C29,0)</f>
        <v>0.0336</v>
      </c>
    </row>
    <row r="30" customFormat="false" ht="15" hidden="false" customHeight="true" outlineLevel="0" collapsed="false">
      <c r="A30" s="51" t="s">
        <v>69</v>
      </c>
      <c r="B30" s="83" t="s">
        <v>159</v>
      </c>
      <c r="C30" s="51" t="n">
        <v>10</v>
      </c>
      <c r="D30" s="51" t="n">
        <v>10</v>
      </c>
      <c r="E30" s="52" t="s">
        <v>160</v>
      </c>
      <c r="F30" s="92"/>
      <c r="G30" s="83" t="s">
        <v>161</v>
      </c>
      <c r="H30" s="51" t="s">
        <v>152</v>
      </c>
      <c r="I30" s="93" t="n">
        <v>65</v>
      </c>
      <c r="J30" s="93" t="n">
        <v>45</v>
      </c>
      <c r="K30" s="93" t="n">
        <v>5</v>
      </c>
      <c r="L30" s="90" t="n">
        <f aca="false">IFERROR((I30*J30*K30)/1000000,0)</f>
        <v>0.014625</v>
      </c>
      <c r="M30" s="91" t="n">
        <f aca="false">IFERROR(L30*C30,0)</f>
        <v>0.14625</v>
      </c>
    </row>
    <row r="31" customFormat="false" ht="15" hidden="false" customHeight="true" outlineLevel="0" collapsed="false">
      <c r="A31" s="28" t="s">
        <v>70</v>
      </c>
      <c r="B31" s="81" t="s">
        <v>162</v>
      </c>
      <c r="C31" s="28" t="n">
        <v>24</v>
      </c>
      <c r="D31" s="28" t="n">
        <v>48</v>
      </c>
      <c r="E31" s="29" t="s">
        <v>150</v>
      </c>
      <c r="F31" s="88"/>
      <c r="G31" s="81" t="s">
        <v>151</v>
      </c>
      <c r="H31" s="28" t="s">
        <v>152</v>
      </c>
      <c r="I31" s="89" t="n">
        <v>18</v>
      </c>
      <c r="J31" s="89" t="n">
        <v>10</v>
      </c>
      <c r="K31" s="89" t="n">
        <v>2</v>
      </c>
      <c r="L31" s="90" t="n">
        <f aca="false">IFERROR((I31*J31*K31)/1000000,0)</f>
        <v>0.00036</v>
      </c>
      <c r="M31" s="91" t="n">
        <f aca="false">IFERROR(L31*C31,0)</f>
        <v>0.00864</v>
      </c>
    </row>
    <row r="32" customFormat="false" ht="15" hidden="false" customHeight="true" outlineLevel="0" collapsed="false">
      <c r="A32" s="51" t="s">
        <v>71</v>
      </c>
      <c r="B32" s="83" t="s">
        <v>163</v>
      </c>
      <c r="C32" s="51" t="n">
        <v>2</v>
      </c>
      <c r="D32" s="51" t="n">
        <v>4</v>
      </c>
      <c r="E32" s="52" t="s">
        <v>164</v>
      </c>
      <c r="F32" s="92" t="n">
        <v>50</v>
      </c>
      <c r="G32" s="83" t="s">
        <v>165</v>
      </c>
      <c r="H32" s="51" t="s">
        <v>152</v>
      </c>
      <c r="I32" s="93" t="n">
        <v>55</v>
      </c>
      <c r="J32" s="93" t="n">
        <v>35</v>
      </c>
      <c r="K32" s="93" t="n">
        <v>20</v>
      </c>
      <c r="L32" s="90" t="n">
        <f aca="false">IFERROR((I32*J32*K32)/1000000,0)</f>
        <v>0.0385</v>
      </c>
      <c r="M32" s="91" t="n">
        <f aca="false">IFERROR(L32*C32,0)</f>
        <v>0.077</v>
      </c>
    </row>
    <row r="33" customFormat="false" ht="15" hidden="false" customHeight="true" outlineLevel="0" collapsed="false">
      <c r="A33" s="28" t="s">
        <v>72</v>
      </c>
      <c r="B33" s="81" t="s">
        <v>166</v>
      </c>
      <c r="C33" s="28" t="n">
        <v>6</v>
      </c>
      <c r="D33" s="28" t="n">
        <v>12</v>
      </c>
      <c r="E33" s="29" t="s">
        <v>167</v>
      </c>
      <c r="F33" s="88"/>
      <c r="G33" s="81" t="s">
        <v>168</v>
      </c>
      <c r="H33" s="28" t="s">
        <v>152</v>
      </c>
      <c r="I33" s="89" t="n">
        <v>20</v>
      </c>
      <c r="J33" s="89" t="n">
        <v>15</v>
      </c>
      <c r="K33" s="89" t="n">
        <v>8</v>
      </c>
      <c r="L33" s="90" t="n">
        <f aca="false">IFERROR((I33*J33*K33)/1000000,0)</f>
        <v>0.0024</v>
      </c>
      <c r="M33" s="91" t="n">
        <f aca="false">IFERROR(L33*C33,0)</f>
        <v>0.0144</v>
      </c>
    </row>
    <row r="34" customFormat="false" ht="15" hidden="false" customHeight="true" outlineLevel="0" collapsed="false">
      <c r="A34" s="51" t="s">
        <v>73</v>
      </c>
      <c r="B34" s="83" t="s">
        <v>169</v>
      </c>
      <c r="C34" s="51" t="n">
        <v>4</v>
      </c>
      <c r="D34" s="51" t="n">
        <v>8</v>
      </c>
      <c r="E34" s="52" t="s">
        <v>170</v>
      </c>
      <c r="F34" s="92"/>
      <c r="G34" s="83" t="s">
        <v>171</v>
      </c>
      <c r="H34" s="51" t="s">
        <v>152</v>
      </c>
      <c r="I34" s="93" t="n">
        <v>40</v>
      </c>
      <c r="J34" s="93" t="n">
        <v>30</v>
      </c>
      <c r="K34" s="93" t="n">
        <v>8</v>
      </c>
      <c r="L34" s="90" t="n">
        <f aca="false">IFERROR((I34*J34*K34)/1000000,0)</f>
        <v>0.0096</v>
      </c>
      <c r="M34" s="91" t="n">
        <f aca="false">IFERROR(L34*C34,0)</f>
        <v>0.0384</v>
      </c>
    </row>
    <row r="37" customFormat="false" ht="15" hidden="false" customHeight="false" outlineLevel="0" collapsed="false">
      <c r="A37" s="94" t="s">
        <v>172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</row>
    <row r="38" customFormat="false" ht="15" hidden="false" customHeight="false" outlineLevel="0" collapsed="false">
      <c r="A38" s="81" t="s">
        <v>173</v>
      </c>
      <c r="B38" s="95" t="n">
        <v>67.5</v>
      </c>
      <c r="C38" s="77" t="s">
        <v>174</v>
      </c>
    </row>
    <row r="39" customFormat="false" ht="15" hidden="false" customHeight="false" outlineLevel="0" collapsed="false">
      <c r="A39" s="83" t="s">
        <v>175</v>
      </c>
      <c r="B39" s="95" t="n">
        <v>0.85</v>
      </c>
      <c r="C39" s="80" t="s">
        <v>176</v>
      </c>
    </row>
    <row r="40" customFormat="false" ht="15" hidden="false" customHeight="false" outlineLevel="0" collapsed="false">
      <c r="A40" s="81" t="s">
        <v>177</v>
      </c>
      <c r="B40" s="96" t="n">
        <f aca="false">B38*B39</f>
        <v>57.375</v>
      </c>
      <c r="C40" s="77" t="s">
        <v>178</v>
      </c>
    </row>
    <row r="41" customFormat="false" ht="15" hidden="false" customHeight="false" outlineLevel="0" collapsed="false">
      <c r="A41" s="83" t="s">
        <v>179</v>
      </c>
      <c r="B41" s="97" t="n">
        <v>26500</v>
      </c>
      <c r="C41" s="80" t="s">
        <v>180</v>
      </c>
    </row>
  </sheetData>
  <mergeCells count="6">
    <mergeCell ref="A1:H1"/>
    <mergeCell ref="A3:C3"/>
    <mergeCell ref="A12:C12"/>
    <mergeCell ref="A19:C19"/>
    <mergeCell ref="A25:H25"/>
    <mergeCell ref="A37:M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23B72"/>
    <pageSetUpPr fitToPage="false"/>
  </sheetPr>
  <dimension ref="A1:F7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25"/>
  </cols>
  <sheetData>
    <row r="1" customFormat="false" ht="25.5" hidden="false" customHeight="true" outlineLevel="0" collapsed="false">
      <c r="A1" s="2" t="s">
        <v>181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87" t="s">
        <v>182</v>
      </c>
      <c r="B2" s="87" t="s">
        <v>137</v>
      </c>
      <c r="C2" s="87" t="s">
        <v>138</v>
      </c>
      <c r="D2" s="87" t="s">
        <v>183</v>
      </c>
      <c r="E2" s="87" t="s">
        <v>184</v>
      </c>
      <c r="F2" s="87" t="s">
        <v>103</v>
      </c>
    </row>
    <row r="3" customFormat="false" ht="15" hidden="false" customHeight="true" outlineLevel="0" collapsed="false">
      <c r="A3" s="98" t="n">
        <v>46034</v>
      </c>
      <c r="B3" s="99" t="s">
        <v>66</v>
      </c>
      <c r="C3" s="100" t="s">
        <v>149</v>
      </c>
      <c r="D3" s="99" t="n">
        <v>6</v>
      </c>
      <c r="E3" s="101" t="s">
        <v>185</v>
      </c>
      <c r="F3" s="100"/>
    </row>
    <row r="4" customFormat="false" ht="15" hidden="false" customHeight="true" outlineLevel="0" collapsed="false">
      <c r="A4" s="98" t="n">
        <v>46034</v>
      </c>
      <c r="B4" s="99" t="s">
        <v>67</v>
      </c>
      <c r="C4" s="100" t="s">
        <v>153</v>
      </c>
      <c r="D4" s="99" t="n">
        <v>4</v>
      </c>
      <c r="E4" s="101" t="s">
        <v>186</v>
      </c>
      <c r="F4" s="100"/>
    </row>
    <row r="5" customFormat="false" ht="15" hidden="false" customHeight="true" outlineLevel="0" collapsed="false">
      <c r="A5" s="98" t="n">
        <v>46034</v>
      </c>
      <c r="B5" s="99" t="s">
        <v>68</v>
      </c>
      <c r="C5" s="100" t="s">
        <v>156</v>
      </c>
      <c r="D5" s="99" t="n">
        <v>9</v>
      </c>
      <c r="E5" s="101" t="s">
        <v>187</v>
      </c>
      <c r="F5" s="100"/>
    </row>
    <row r="6" customFormat="false" ht="15" hidden="false" customHeight="true" outlineLevel="0" collapsed="false">
      <c r="A6" s="98" t="n">
        <v>46034</v>
      </c>
      <c r="B6" s="99" t="s">
        <v>69</v>
      </c>
      <c r="C6" s="100" t="s">
        <v>159</v>
      </c>
      <c r="D6" s="99" t="n">
        <v>3</v>
      </c>
      <c r="E6" s="101" t="s">
        <v>188</v>
      </c>
      <c r="F6" s="100"/>
    </row>
    <row r="7" customFormat="false" ht="15" hidden="false" customHeight="true" outlineLevel="0" collapsed="false">
      <c r="A7" s="98" t="n">
        <v>46034</v>
      </c>
      <c r="B7" s="99" t="s">
        <v>70</v>
      </c>
      <c r="C7" s="100" t="s">
        <v>162</v>
      </c>
      <c r="D7" s="99" t="n">
        <v>13</v>
      </c>
      <c r="E7" s="101" t="s">
        <v>189</v>
      </c>
      <c r="F7" s="100"/>
    </row>
    <row r="8" customFormat="false" ht="15" hidden="false" customHeight="true" outlineLevel="0" collapsed="false">
      <c r="A8" s="98" t="n">
        <v>46034</v>
      </c>
      <c r="B8" s="99" t="s">
        <v>71</v>
      </c>
      <c r="C8" s="100" t="s">
        <v>163</v>
      </c>
      <c r="D8" s="99" t="n">
        <v>2</v>
      </c>
      <c r="E8" s="101" t="s">
        <v>185</v>
      </c>
      <c r="F8" s="100"/>
    </row>
    <row r="9" customFormat="false" ht="15" hidden="false" customHeight="true" outlineLevel="0" collapsed="false">
      <c r="A9" s="98" t="n">
        <v>46034</v>
      </c>
      <c r="B9" s="99" t="s">
        <v>72</v>
      </c>
      <c r="C9" s="100" t="s">
        <v>166</v>
      </c>
      <c r="D9" s="99" t="n">
        <v>5</v>
      </c>
      <c r="E9" s="101" t="s">
        <v>186</v>
      </c>
      <c r="F9" s="100"/>
    </row>
    <row r="10" customFormat="false" ht="15" hidden="false" customHeight="true" outlineLevel="0" collapsed="false">
      <c r="A10" s="98" t="n">
        <v>46034</v>
      </c>
      <c r="B10" s="99" t="s">
        <v>73</v>
      </c>
      <c r="C10" s="100" t="s">
        <v>169</v>
      </c>
      <c r="D10" s="99" t="n">
        <v>3</v>
      </c>
      <c r="E10" s="101" t="s">
        <v>187</v>
      </c>
      <c r="F10" s="100"/>
    </row>
    <row r="11" customFormat="false" ht="15" hidden="false" customHeight="true" outlineLevel="0" collapsed="false">
      <c r="A11" s="98" t="n">
        <v>46035</v>
      </c>
      <c r="B11" s="99" t="s">
        <v>66</v>
      </c>
      <c r="C11" s="100" t="s">
        <v>149</v>
      </c>
      <c r="D11" s="99" t="n">
        <v>5</v>
      </c>
      <c r="E11" s="101" t="s">
        <v>189</v>
      </c>
      <c r="F11" s="100"/>
    </row>
    <row r="12" customFormat="false" ht="15" hidden="false" customHeight="true" outlineLevel="0" collapsed="false">
      <c r="A12" s="98" t="n">
        <v>46035</v>
      </c>
      <c r="B12" s="99" t="s">
        <v>67</v>
      </c>
      <c r="C12" s="100" t="s">
        <v>153</v>
      </c>
      <c r="D12" s="99" t="n">
        <v>3</v>
      </c>
      <c r="E12" s="101" t="s">
        <v>185</v>
      </c>
      <c r="F12" s="100"/>
    </row>
    <row r="13" customFormat="false" ht="15" hidden="false" customHeight="true" outlineLevel="0" collapsed="false">
      <c r="A13" s="98" t="n">
        <v>46035</v>
      </c>
      <c r="B13" s="99" t="s">
        <v>68</v>
      </c>
      <c r="C13" s="100" t="s">
        <v>156</v>
      </c>
      <c r="D13" s="99" t="n">
        <v>8</v>
      </c>
      <c r="E13" s="101" t="s">
        <v>186</v>
      </c>
      <c r="F13" s="100"/>
    </row>
    <row r="14" customFormat="false" ht="15" hidden="false" customHeight="true" outlineLevel="0" collapsed="false">
      <c r="A14" s="98" t="n">
        <v>46035</v>
      </c>
      <c r="B14" s="99" t="s">
        <v>69</v>
      </c>
      <c r="C14" s="100" t="s">
        <v>159</v>
      </c>
      <c r="D14" s="99" t="n">
        <v>2</v>
      </c>
      <c r="E14" s="101" t="s">
        <v>187</v>
      </c>
      <c r="F14" s="100"/>
    </row>
    <row r="15" customFormat="false" ht="15" hidden="false" customHeight="true" outlineLevel="0" collapsed="false">
      <c r="A15" s="98" t="n">
        <v>46035</v>
      </c>
      <c r="B15" s="99" t="s">
        <v>70</v>
      </c>
      <c r="C15" s="100" t="s">
        <v>162</v>
      </c>
      <c r="D15" s="99" t="n">
        <v>12</v>
      </c>
      <c r="E15" s="101" t="s">
        <v>188</v>
      </c>
      <c r="F15" s="100"/>
    </row>
    <row r="16" customFormat="false" ht="15" hidden="false" customHeight="true" outlineLevel="0" collapsed="false">
      <c r="A16" s="98" t="n">
        <v>46035</v>
      </c>
      <c r="B16" s="99" t="s">
        <v>71</v>
      </c>
      <c r="C16" s="100" t="s">
        <v>163</v>
      </c>
      <c r="D16" s="99" t="n">
        <v>1</v>
      </c>
      <c r="E16" s="101" t="s">
        <v>189</v>
      </c>
      <c r="F16" s="100"/>
    </row>
    <row r="17" customFormat="false" ht="15" hidden="false" customHeight="true" outlineLevel="0" collapsed="false">
      <c r="A17" s="98" t="n">
        <v>46035</v>
      </c>
      <c r="B17" s="99" t="s">
        <v>72</v>
      </c>
      <c r="C17" s="100" t="s">
        <v>166</v>
      </c>
      <c r="D17" s="99" t="n">
        <v>4</v>
      </c>
      <c r="E17" s="101" t="s">
        <v>185</v>
      </c>
      <c r="F17" s="100"/>
    </row>
    <row r="18" customFormat="false" ht="15" hidden="false" customHeight="true" outlineLevel="0" collapsed="false">
      <c r="A18" s="98" t="n">
        <v>46035</v>
      </c>
      <c r="B18" s="99" t="s">
        <v>73</v>
      </c>
      <c r="C18" s="100" t="s">
        <v>169</v>
      </c>
      <c r="D18" s="99" t="n">
        <v>2</v>
      </c>
      <c r="E18" s="101" t="s">
        <v>186</v>
      </c>
      <c r="F18" s="100"/>
    </row>
    <row r="19" customFormat="false" ht="15" hidden="false" customHeight="true" outlineLevel="0" collapsed="false">
      <c r="A19" s="98" t="n">
        <v>46036</v>
      </c>
      <c r="B19" s="99" t="s">
        <v>66</v>
      </c>
      <c r="C19" s="100" t="s">
        <v>149</v>
      </c>
      <c r="D19" s="99" t="n">
        <v>4</v>
      </c>
      <c r="E19" s="101" t="s">
        <v>188</v>
      </c>
      <c r="F19" s="100"/>
    </row>
    <row r="20" customFormat="false" ht="15" hidden="false" customHeight="true" outlineLevel="0" collapsed="false">
      <c r="A20" s="98" t="n">
        <v>46036</v>
      </c>
      <c r="B20" s="99" t="s">
        <v>67</v>
      </c>
      <c r="C20" s="100" t="s">
        <v>153</v>
      </c>
      <c r="D20" s="99" t="n">
        <v>2</v>
      </c>
      <c r="E20" s="101" t="s">
        <v>189</v>
      </c>
      <c r="F20" s="100"/>
    </row>
    <row r="21" customFormat="false" ht="15" hidden="false" customHeight="true" outlineLevel="0" collapsed="false">
      <c r="A21" s="98" t="n">
        <v>46036</v>
      </c>
      <c r="B21" s="99" t="s">
        <v>68</v>
      </c>
      <c r="C21" s="100" t="s">
        <v>156</v>
      </c>
      <c r="D21" s="99" t="n">
        <v>7</v>
      </c>
      <c r="E21" s="101" t="s">
        <v>185</v>
      </c>
      <c r="F21" s="100"/>
    </row>
    <row r="22" customFormat="false" ht="15" hidden="false" customHeight="true" outlineLevel="0" collapsed="false">
      <c r="A22" s="98" t="n">
        <v>46036</v>
      </c>
      <c r="B22" s="99" t="s">
        <v>69</v>
      </c>
      <c r="C22" s="100" t="s">
        <v>159</v>
      </c>
      <c r="D22" s="99" t="n">
        <v>1</v>
      </c>
      <c r="E22" s="101" t="s">
        <v>186</v>
      </c>
      <c r="F22" s="100"/>
    </row>
    <row r="23" customFormat="false" ht="15" hidden="false" customHeight="true" outlineLevel="0" collapsed="false">
      <c r="A23" s="98" t="n">
        <v>46036</v>
      </c>
      <c r="B23" s="99" t="s">
        <v>70</v>
      </c>
      <c r="C23" s="100" t="s">
        <v>162</v>
      </c>
      <c r="D23" s="99" t="n">
        <v>11</v>
      </c>
      <c r="E23" s="101" t="s">
        <v>187</v>
      </c>
      <c r="F23" s="100"/>
    </row>
    <row r="24" customFormat="false" ht="15" hidden="false" customHeight="true" outlineLevel="0" collapsed="false">
      <c r="A24" s="98" t="n">
        <v>46036</v>
      </c>
      <c r="B24" s="99" t="s">
        <v>71</v>
      </c>
      <c r="C24" s="100" t="s">
        <v>163</v>
      </c>
      <c r="D24" s="99" t="n">
        <v>0</v>
      </c>
      <c r="E24" s="101" t="s">
        <v>188</v>
      </c>
      <c r="F24" s="100"/>
    </row>
    <row r="25" customFormat="false" ht="15" hidden="false" customHeight="true" outlineLevel="0" collapsed="false">
      <c r="A25" s="98" t="n">
        <v>46036</v>
      </c>
      <c r="B25" s="99" t="s">
        <v>72</v>
      </c>
      <c r="C25" s="100" t="s">
        <v>166</v>
      </c>
      <c r="D25" s="99" t="n">
        <v>3</v>
      </c>
      <c r="E25" s="101" t="s">
        <v>189</v>
      </c>
      <c r="F25" s="100"/>
    </row>
    <row r="26" customFormat="false" ht="15" hidden="false" customHeight="true" outlineLevel="0" collapsed="false">
      <c r="A26" s="98" t="n">
        <v>46036</v>
      </c>
      <c r="B26" s="99" t="s">
        <v>73</v>
      </c>
      <c r="C26" s="100" t="s">
        <v>169</v>
      </c>
      <c r="D26" s="99" t="n">
        <v>1</v>
      </c>
      <c r="E26" s="101" t="s">
        <v>185</v>
      </c>
      <c r="F26" s="100"/>
    </row>
    <row r="27" customFormat="false" ht="15" hidden="false" customHeight="true" outlineLevel="0" collapsed="false">
      <c r="A27" s="98" t="n">
        <v>46037</v>
      </c>
      <c r="B27" s="99" t="s">
        <v>66</v>
      </c>
      <c r="C27" s="100" t="s">
        <v>149</v>
      </c>
      <c r="D27" s="99" t="n">
        <v>6</v>
      </c>
      <c r="E27" s="101" t="s">
        <v>187</v>
      </c>
      <c r="F27" s="100"/>
    </row>
    <row r="28" customFormat="false" ht="15" hidden="false" customHeight="true" outlineLevel="0" collapsed="false">
      <c r="A28" s="98" t="n">
        <v>46037</v>
      </c>
      <c r="B28" s="99" t="s">
        <v>67</v>
      </c>
      <c r="C28" s="100" t="s">
        <v>153</v>
      </c>
      <c r="D28" s="99" t="n">
        <v>4</v>
      </c>
      <c r="E28" s="101" t="s">
        <v>188</v>
      </c>
      <c r="F28" s="100"/>
    </row>
    <row r="29" customFormat="false" ht="15" hidden="false" customHeight="true" outlineLevel="0" collapsed="false">
      <c r="A29" s="98" t="n">
        <v>46037</v>
      </c>
      <c r="B29" s="99" t="s">
        <v>68</v>
      </c>
      <c r="C29" s="100" t="s">
        <v>156</v>
      </c>
      <c r="D29" s="99" t="n">
        <v>9</v>
      </c>
      <c r="E29" s="101" t="s">
        <v>189</v>
      </c>
      <c r="F29" s="100"/>
    </row>
    <row r="30" customFormat="false" ht="15" hidden="false" customHeight="true" outlineLevel="0" collapsed="false">
      <c r="A30" s="98" t="n">
        <v>46037</v>
      </c>
      <c r="B30" s="99" t="s">
        <v>69</v>
      </c>
      <c r="C30" s="100" t="s">
        <v>159</v>
      </c>
      <c r="D30" s="99" t="n">
        <v>3</v>
      </c>
      <c r="E30" s="101" t="s">
        <v>185</v>
      </c>
      <c r="F30" s="100"/>
    </row>
    <row r="31" customFormat="false" ht="15" hidden="false" customHeight="true" outlineLevel="0" collapsed="false">
      <c r="A31" s="98" t="n">
        <v>46037</v>
      </c>
      <c r="B31" s="99" t="s">
        <v>70</v>
      </c>
      <c r="C31" s="100" t="s">
        <v>162</v>
      </c>
      <c r="D31" s="99" t="n">
        <v>13</v>
      </c>
      <c r="E31" s="101" t="s">
        <v>186</v>
      </c>
      <c r="F31" s="100"/>
    </row>
    <row r="32" customFormat="false" ht="15" hidden="false" customHeight="true" outlineLevel="0" collapsed="false">
      <c r="A32" s="98" t="n">
        <v>46037</v>
      </c>
      <c r="B32" s="99" t="s">
        <v>71</v>
      </c>
      <c r="C32" s="100" t="s">
        <v>163</v>
      </c>
      <c r="D32" s="99" t="n">
        <v>2</v>
      </c>
      <c r="E32" s="101" t="s">
        <v>187</v>
      </c>
      <c r="F32" s="100"/>
    </row>
    <row r="33" customFormat="false" ht="15" hidden="false" customHeight="true" outlineLevel="0" collapsed="false">
      <c r="A33" s="98" t="n">
        <v>46037</v>
      </c>
      <c r="B33" s="99" t="s">
        <v>72</v>
      </c>
      <c r="C33" s="100" t="s">
        <v>166</v>
      </c>
      <c r="D33" s="99" t="n">
        <v>5</v>
      </c>
      <c r="E33" s="101" t="s">
        <v>188</v>
      </c>
      <c r="F33" s="100"/>
    </row>
    <row r="34" customFormat="false" ht="15" hidden="false" customHeight="true" outlineLevel="0" collapsed="false">
      <c r="A34" s="98" t="n">
        <v>46037</v>
      </c>
      <c r="B34" s="99" t="s">
        <v>73</v>
      </c>
      <c r="C34" s="100" t="s">
        <v>169</v>
      </c>
      <c r="D34" s="99" t="n">
        <v>3</v>
      </c>
      <c r="E34" s="101" t="s">
        <v>189</v>
      </c>
      <c r="F34" s="100"/>
    </row>
    <row r="35" customFormat="false" ht="15" hidden="false" customHeight="true" outlineLevel="0" collapsed="false">
      <c r="A35" s="98" t="n">
        <v>46038</v>
      </c>
      <c r="B35" s="99" t="s">
        <v>66</v>
      </c>
      <c r="C35" s="100" t="s">
        <v>149</v>
      </c>
      <c r="D35" s="99" t="n">
        <v>5</v>
      </c>
      <c r="E35" s="101" t="s">
        <v>186</v>
      </c>
      <c r="F35" s="100"/>
    </row>
    <row r="36" customFormat="false" ht="15" hidden="false" customHeight="true" outlineLevel="0" collapsed="false">
      <c r="A36" s="98" t="n">
        <v>46038</v>
      </c>
      <c r="B36" s="99" t="s">
        <v>67</v>
      </c>
      <c r="C36" s="100" t="s">
        <v>153</v>
      </c>
      <c r="D36" s="99" t="n">
        <v>3</v>
      </c>
      <c r="E36" s="101" t="s">
        <v>187</v>
      </c>
      <c r="F36" s="100"/>
    </row>
    <row r="37" customFormat="false" ht="15" hidden="false" customHeight="true" outlineLevel="0" collapsed="false">
      <c r="A37" s="98" t="n">
        <v>46038</v>
      </c>
      <c r="B37" s="99" t="s">
        <v>68</v>
      </c>
      <c r="C37" s="100" t="s">
        <v>156</v>
      </c>
      <c r="D37" s="99" t="n">
        <v>8</v>
      </c>
      <c r="E37" s="101" t="s">
        <v>188</v>
      </c>
      <c r="F37" s="100"/>
    </row>
    <row r="38" customFormat="false" ht="15" hidden="false" customHeight="true" outlineLevel="0" collapsed="false">
      <c r="A38" s="98" t="n">
        <v>46038</v>
      </c>
      <c r="B38" s="99" t="s">
        <v>69</v>
      </c>
      <c r="C38" s="100" t="s">
        <v>159</v>
      </c>
      <c r="D38" s="99" t="n">
        <v>2</v>
      </c>
      <c r="E38" s="101" t="s">
        <v>189</v>
      </c>
      <c r="F38" s="100"/>
    </row>
    <row r="39" customFormat="false" ht="15" hidden="false" customHeight="true" outlineLevel="0" collapsed="false">
      <c r="A39" s="98" t="n">
        <v>46038</v>
      </c>
      <c r="B39" s="99" t="s">
        <v>70</v>
      </c>
      <c r="C39" s="100" t="s">
        <v>162</v>
      </c>
      <c r="D39" s="99" t="n">
        <v>12</v>
      </c>
      <c r="E39" s="101" t="s">
        <v>185</v>
      </c>
      <c r="F39" s="100"/>
    </row>
    <row r="40" customFormat="false" ht="15" hidden="false" customHeight="true" outlineLevel="0" collapsed="false">
      <c r="A40" s="98" t="n">
        <v>46038</v>
      </c>
      <c r="B40" s="99" t="s">
        <v>71</v>
      </c>
      <c r="C40" s="100" t="s">
        <v>163</v>
      </c>
      <c r="D40" s="99" t="n">
        <v>1</v>
      </c>
      <c r="E40" s="101" t="s">
        <v>186</v>
      </c>
      <c r="F40" s="100"/>
    </row>
    <row r="41" customFormat="false" ht="15" hidden="false" customHeight="true" outlineLevel="0" collapsed="false">
      <c r="A41" s="98" t="n">
        <v>46038</v>
      </c>
      <c r="B41" s="99" t="s">
        <v>72</v>
      </c>
      <c r="C41" s="100" t="s">
        <v>166</v>
      </c>
      <c r="D41" s="99" t="n">
        <v>4</v>
      </c>
      <c r="E41" s="101" t="s">
        <v>187</v>
      </c>
      <c r="F41" s="100"/>
    </row>
    <row r="42" customFormat="false" ht="15" hidden="false" customHeight="true" outlineLevel="0" collapsed="false">
      <c r="A42" s="98" t="n">
        <v>46038</v>
      </c>
      <c r="B42" s="99" t="s">
        <v>73</v>
      </c>
      <c r="C42" s="100" t="s">
        <v>169</v>
      </c>
      <c r="D42" s="99" t="n">
        <v>2</v>
      </c>
      <c r="E42" s="101" t="s">
        <v>188</v>
      </c>
      <c r="F42" s="100"/>
    </row>
    <row r="43" customFormat="false" ht="15" hidden="false" customHeight="true" outlineLevel="0" collapsed="false">
      <c r="A43" s="98" t="n">
        <v>46039</v>
      </c>
      <c r="B43" s="99" t="s">
        <v>66</v>
      </c>
      <c r="C43" s="100" t="s">
        <v>149</v>
      </c>
      <c r="D43" s="99" t="n">
        <v>4</v>
      </c>
      <c r="E43" s="101" t="s">
        <v>185</v>
      </c>
      <c r="F43" s="100"/>
    </row>
    <row r="44" customFormat="false" ht="15" hidden="false" customHeight="true" outlineLevel="0" collapsed="false">
      <c r="A44" s="98" t="n">
        <v>46039</v>
      </c>
      <c r="B44" s="99" t="s">
        <v>67</v>
      </c>
      <c r="C44" s="100" t="s">
        <v>153</v>
      </c>
      <c r="D44" s="99" t="n">
        <v>2</v>
      </c>
      <c r="E44" s="101" t="s">
        <v>186</v>
      </c>
      <c r="F44" s="100"/>
    </row>
    <row r="45" customFormat="false" ht="15" hidden="false" customHeight="true" outlineLevel="0" collapsed="false">
      <c r="A45" s="98" t="n">
        <v>46039</v>
      </c>
      <c r="B45" s="99" t="s">
        <v>68</v>
      </c>
      <c r="C45" s="100" t="s">
        <v>156</v>
      </c>
      <c r="D45" s="99" t="n">
        <v>7</v>
      </c>
      <c r="E45" s="101" t="s">
        <v>187</v>
      </c>
      <c r="F45" s="100"/>
    </row>
    <row r="46" customFormat="false" ht="15" hidden="false" customHeight="true" outlineLevel="0" collapsed="false">
      <c r="A46" s="98" t="n">
        <v>46039</v>
      </c>
      <c r="B46" s="99" t="s">
        <v>69</v>
      </c>
      <c r="C46" s="100" t="s">
        <v>159</v>
      </c>
      <c r="D46" s="99" t="n">
        <v>1</v>
      </c>
      <c r="E46" s="101" t="s">
        <v>188</v>
      </c>
      <c r="F46" s="100"/>
    </row>
    <row r="47" customFormat="false" ht="15" hidden="false" customHeight="true" outlineLevel="0" collapsed="false">
      <c r="A47" s="98" t="n">
        <v>46039</v>
      </c>
      <c r="B47" s="99" t="s">
        <v>70</v>
      </c>
      <c r="C47" s="100" t="s">
        <v>162</v>
      </c>
      <c r="D47" s="99" t="n">
        <v>11</v>
      </c>
      <c r="E47" s="101" t="s">
        <v>189</v>
      </c>
      <c r="F47" s="100"/>
    </row>
    <row r="48" customFormat="false" ht="15" hidden="false" customHeight="true" outlineLevel="0" collapsed="false">
      <c r="A48" s="98" t="n">
        <v>46039</v>
      </c>
      <c r="B48" s="99" t="s">
        <v>71</v>
      </c>
      <c r="C48" s="100" t="s">
        <v>163</v>
      </c>
      <c r="D48" s="99" t="n">
        <v>0</v>
      </c>
      <c r="E48" s="101" t="s">
        <v>185</v>
      </c>
      <c r="F48" s="100"/>
    </row>
    <row r="49" customFormat="false" ht="15" hidden="false" customHeight="true" outlineLevel="0" collapsed="false">
      <c r="A49" s="98" t="n">
        <v>46039</v>
      </c>
      <c r="B49" s="99" t="s">
        <v>72</v>
      </c>
      <c r="C49" s="100" t="s">
        <v>166</v>
      </c>
      <c r="D49" s="99" t="n">
        <v>3</v>
      </c>
      <c r="E49" s="101" t="s">
        <v>186</v>
      </c>
      <c r="F49" s="100"/>
    </row>
    <row r="50" customFormat="false" ht="15" hidden="false" customHeight="true" outlineLevel="0" collapsed="false">
      <c r="A50" s="98" t="n">
        <v>46039</v>
      </c>
      <c r="B50" s="99" t="s">
        <v>73</v>
      </c>
      <c r="C50" s="100" t="s">
        <v>169</v>
      </c>
      <c r="D50" s="99" t="n">
        <v>1</v>
      </c>
      <c r="E50" s="101" t="s">
        <v>187</v>
      </c>
      <c r="F50" s="100"/>
    </row>
    <row r="51" customFormat="false" ht="15" hidden="false" customHeight="true" outlineLevel="0" collapsed="false">
      <c r="A51" s="98" t="n">
        <v>46040</v>
      </c>
      <c r="B51" s="99" t="s">
        <v>66</v>
      </c>
      <c r="C51" s="100" t="s">
        <v>149</v>
      </c>
      <c r="D51" s="99" t="n">
        <v>6</v>
      </c>
      <c r="E51" s="101" t="s">
        <v>189</v>
      </c>
      <c r="F51" s="100"/>
    </row>
    <row r="52" customFormat="false" ht="15" hidden="false" customHeight="true" outlineLevel="0" collapsed="false">
      <c r="A52" s="98" t="n">
        <v>46040</v>
      </c>
      <c r="B52" s="99" t="s">
        <v>67</v>
      </c>
      <c r="C52" s="100" t="s">
        <v>153</v>
      </c>
      <c r="D52" s="99" t="n">
        <v>4</v>
      </c>
      <c r="E52" s="101" t="s">
        <v>185</v>
      </c>
      <c r="F52" s="100"/>
    </row>
    <row r="53" customFormat="false" ht="15" hidden="false" customHeight="true" outlineLevel="0" collapsed="false">
      <c r="A53" s="98" t="n">
        <v>46040</v>
      </c>
      <c r="B53" s="99" t="s">
        <v>68</v>
      </c>
      <c r="C53" s="100" t="s">
        <v>156</v>
      </c>
      <c r="D53" s="99" t="n">
        <v>9</v>
      </c>
      <c r="E53" s="101" t="s">
        <v>186</v>
      </c>
      <c r="F53" s="100"/>
    </row>
    <row r="54" customFormat="false" ht="15" hidden="false" customHeight="true" outlineLevel="0" collapsed="false">
      <c r="A54" s="98" t="n">
        <v>46040</v>
      </c>
      <c r="B54" s="99" t="s">
        <v>69</v>
      </c>
      <c r="C54" s="100" t="s">
        <v>159</v>
      </c>
      <c r="D54" s="99" t="n">
        <v>3</v>
      </c>
      <c r="E54" s="101" t="s">
        <v>187</v>
      </c>
      <c r="F54" s="100"/>
    </row>
    <row r="55" customFormat="false" ht="15" hidden="false" customHeight="true" outlineLevel="0" collapsed="false">
      <c r="A55" s="98" t="n">
        <v>46040</v>
      </c>
      <c r="B55" s="99" t="s">
        <v>70</v>
      </c>
      <c r="C55" s="100" t="s">
        <v>162</v>
      </c>
      <c r="D55" s="99" t="n">
        <v>13</v>
      </c>
      <c r="E55" s="101" t="s">
        <v>188</v>
      </c>
      <c r="F55" s="100"/>
    </row>
    <row r="56" customFormat="false" ht="15" hidden="false" customHeight="true" outlineLevel="0" collapsed="false">
      <c r="A56" s="98" t="n">
        <v>46040</v>
      </c>
      <c r="B56" s="99" t="s">
        <v>71</v>
      </c>
      <c r="C56" s="100" t="s">
        <v>163</v>
      </c>
      <c r="D56" s="99" t="n">
        <v>2</v>
      </c>
      <c r="E56" s="101" t="s">
        <v>189</v>
      </c>
      <c r="F56" s="100"/>
    </row>
    <row r="57" customFormat="false" ht="15" hidden="false" customHeight="true" outlineLevel="0" collapsed="false">
      <c r="A57" s="98" t="n">
        <v>46040</v>
      </c>
      <c r="B57" s="99" t="s">
        <v>72</v>
      </c>
      <c r="C57" s="100" t="s">
        <v>166</v>
      </c>
      <c r="D57" s="99" t="n">
        <v>5</v>
      </c>
      <c r="E57" s="101" t="s">
        <v>185</v>
      </c>
      <c r="F57" s="100"/>
    </row>
    <row r="58" customFormat="false" ht="15" hidden="false" customHeight="true" outlineLevel="0" collapsed="false">
      <c r="A58" s="98" t="n">
        <v>46040</v>
      </c>
      <c r="B58" s="99" t="s">
        <v>73</v>
      </c>
      <c r="C58" s="100" t="s">
        <v>169</v>
      </c>
      <c r="D58" s="99" t="n">
        <v>3</v>
      </c>
      <c r="E58" s="101" t="s">
        <v>186</v>
      </c>
      <c r="F58" s="100"/>
    </row>
    <row r="59" customFormat="false" ht="15" hidden="false" customHeight="true" outlineLevel="0" collapsed="false">
      <c r="A59" s="98" t="n">
        <v>46041</v>
      </c>
      <c r="B59" s="99" t="s">
        <v>66</v>
      </c>
      <c r="C59" s="100" t="s">
        <v>149</v>
      </c>
      <c r="D59" s="99" t="n">
        <v>5</v>
      </c>
      <c r="E59" s="101" t="s">
        <v>188</v>
      </c>
      <c r="F59" s="100"/>
    </row>
    <row r="60" customFormat="false" ht="15" hidden="false" customHeight="true" outlineLevel="0" collapsed="false">
      <c r="A60" s="98" t="n">
        <v>46041</v>
      </c>
      <c r="B60" s="99" t="s">
        <v>67</v>
      </c>
      <c r="C60" s="100" t="s">
        <v>153</v>
      </c>
      <c r="D60" s="99" t="n">
        <v>3</v>
      </c>
      <c r="E60" s="101" t="s">
        <v>189</v>
      </c>
      <c r="F60" s="100"/>
    </row>
    <row r="61" customFormat="false" ht="15" hidden="false" customHeight="true" outlineLevel="0" collapsed="false">
      <c r="A61" s="98" t="n">
        <v>46041</v>
      </c>
      <c r="B61" s="99" t="s">
        <v>68</v>
      </c>
      <c r="C61" s="100" t="s">
        <v>156</v>
      </c>
      <c r="D61" s="99" t="n">
        <v>8</v>
      </c>
      <c r="E61" s="101" t="s">
        <v>185</v>
      </c>
      <c r="F61" s="100"/>
    </row>
    <row r="62" customFormat="false" ht="15" hidden="false" customHeight="true" outlineLevel="0" collapsed="false">
      <c r="A62" s="98" t="n">
        <v>46041</v>
      </c>
      <c r="B62" s="99" t="s">
        <v>69</v>
      </c>
      <c r="C62" s="100" t="s">
        <v>159</v>
      </c>
      <c r="D62" s="99" t="n">
        <v>2</v>
      </c>
      <c r="E62" s="101" t="s">
        <v>186</v>
      </c>
      <c r="F62" s="100"/>
    </row>
    <row r="63" customFormat="false" ht="15" hidden="false" customHeight="true" outlineLevel="0" collapsed="false">
      <c r="A63" s="98" t="n">
        <v>46041</v>
      </c>
      <c r="B63" s="99" t="s">
        <v>70</v>
      </c>
      <c r="C63" s="100" t="s">
        <v>162</v>
      </c>
      <c r="D63" s="99" t="n">
        <v>12</v>
      </c>
      <c r="E63" s="101" t="s">
        <v>187</v>
      </c>
      <c r="F63" s="100"/>
    </row>
    <row r="64" customFormat="false" ht="15" hidden="false" customHeight="true" outlineLevel="0" collapsed="false">
      <c r="A64" s="98" t="n">
        <v>46041</v>
      </c>
      <c r="B64" s="99" t="s">
        <v>71</v>
      </c>
      <c r="C64" s="100" t="s">
        <v>163</v>
      </c>
      <c r="D64" s="99" t="n">
        <v>1</v>
      </c>
      <c r="E64" s="101" t="s">
        <v>188</v>
      </c>
      <c r="F64" s="100"/>
    </row>
    <row r="65" customFormat="false" ht="15" hidden="false" customHeight="true" outlineLevel="0" collapsed="false">
      <c r="A65" s="98" t="n">
        <v>46041</v>
      </c>
      <c r="B65" s="99" t="s">
        <v>72</v>
      </c>
      <c r="C65" s="100" t="s">
        <v>166</v>
      </c>
      <c r="D65" s="99" t="n">
        <v>4</v>
      </c>
      <c r="E65" s="101" t="s">
        <v>189</v>
      </c>
      <c r="F65" s="100"/>
    </row>
    <row r="66" customFormat="false" ht="15" hidden="false" customHeight="true" outlineLevel="0" collapsed="false">
      <c r="A66" s="98" t="n">
        <v>46041</v>
      </c>
      <c r="B66" s="99" t="s">
        <v>73</v>
      </c>
      <c r="C66" s="100" t="s">
        <v>169</v>
      </c>
      <c r="D66" s="99" t="n">
        <v>2</v>
      </c>
      <c r="E66" s="101" t="s">
        <v>185</v>
      </c>
      <c r="F66" s="100"/>
    </row>
    <row r="67" customFormat="false" ht="15" hidden="false" customHeight="true" outlineLevel="0" collapsed="false">
      <c r="A67" s="98" t="n">
        <v>46042</v>
      </c>
      <c r="B67" s="99" t="s">
        <v>66</v>
      </c>
      <c r="C67" s="100" t="s">
        <v>149</v>
      </c>
      <c r="D67" s="99" t="n">
        <v>4</v>
      </c>
      <c r="E67" s="101" t="s">
        <v>187</v>
      </c>
      <c r="F67" s="100"/>
    </row>
    <row r="68" customFormat="false" ht="15" hidden="false" customHeight="true" outlineLevel="0" collapsed="false">
      <c r="A68" s="98" t="n">
        <v>46042</v>
      </c>
      <c r="B68" s="99" t="s">
        <v>67</v>
      </c>
      <c r="C68" s="100" t="s">
        <v>153</v>
      </c>
      <c r="D68" s="99" t="n">
        <v>2</v>
      </c>
      <c r="E68" s="101" t="s">
        <v>188</v>
      </c>
      <c r="F68" s="100"/>
    </row>
    <row r="69" customFormat="false" ht="15" hidden="false" customHeight="true" outlineLevel="0" collapsed="false">
      <c r="A69" s="98" t="n">
        <v>46042</v>
      </c>
      <c r="B69" s="99" t="s">
        <v>68</v>
      </c>
      <c r="C69" s="100" t="s">
        <v>156</v>
      </c>
      <c r="D69" s="99" t="n">
        <v>7</v>
      </c>
      <c r="E69" s="101" t="s">
        <v>189</v>
      </c>
      <c r="F69" s="100"/>
    </row>
    <row r="70" customFormat="false" ht="15" hidden="false" customHeight="true" outlineLevel="0" collapsed="false">
      <c r="A70" s="98" t="n">
        <v>46042</v>
      </c>
      <c r="B70" s="99" t="s">
        <v>69</v>
      </c>
      <c r="C70" s="100" t="s">
        <v>159</v>
      </c>
      <c r="D70" s="99" t="n">
        <v>1</v>
      </c>
      <c r="E70" s="101" t="s">
        <v>185</v>
      </c>
      <c r="F70" s="100"/>
    </row>
    <row r="71" customFormat="false" ht="15" hidden="false" customHeight="true" outlineLevel="0" collapsed="false">
      <c r="A71" s="98" t="n">
        <v>46042</v>
      </c>
      <c r="B71" s="99" t="s">
        <v>70</v>
      </c>
      <c r="C71" s="100" t="s">
        <v>162</v>
      </c>
      <c r="D71" s="99" t="n">
        <v>11</v>
      </c>
      <c r="E71" s="101" t="s">
        <v>186</v>
      </c>
      <c r="F71" s="100"/>
    </row>
    <row r="72" customFormat="false" ht="15" hidden="false" customHeight="true" outlineLevel="0" collapsed="false">
      <c r="A72" s="98" t="n">
        <v>46042</v>
      </c>
      <c r="B72" s="99" t="s">
        <v>71</v>
      </c>
      <c r="C72" s="100" t="s">
        <v>163</v>
      </c>
      <c r="D72" s="99" t="n">
        <v>0</v>
      </c>
      <c r="E72" s="101" t="s">
        <v>187</v>
      </c>
      <c r="F72" s="100"/>
    </row>
    <row r="73" customFormat="false" ht="15" hidden="false" customHeight="true" outlineLevel="0" collapsed="false">
      <c r="A73" s="98" t="n">
        <v>46042</v>
      </c>
      <c r="B73" s="99" t="s">
        <v>72</v>
      </c>
      <c r="C73" s="100" t="s">
        <v>166</v>
      </c>
      <c r="D73" s="99" t="n">
        <v>3</v>
      </c>
      <c r="E73" s="101" t="s">
        <v>188</v>
      </c>
      <c r="F73" s="100"/>
    </row>
    <row r="74" customFormat="false" ht="15" hidden="false" customHeight="true" outlineLevel="0" collapsed="false">
      <c r="A74" s="98" t="n">
        <v>46042</v>
      </c>
      <c r="B74" s="99" t="s">
        <v>73</v>
      </c>
      <c r="C74" s="100" t="s">
        <v>169</v>
      </c>
      <c r="D74" s="99" t="n">
        <v>1</v>
      </c>
      <c r="E74" s="101" t="s">
        <v>189</v>
      </c>
      <c r="F74" s="100"/>
    </row>
    <row r="75" customFormat="false" ht="15" hidden="false" customHeight="true" outlineLevel="0" collapsed="false">
      <c r="A75" s="98" t="n">
        <v>46043</v>
      </c>
      <c r="B75" s="99" t="s">
        <v>66</v>
      </c>
      <c r="C75" s="100" t="s">
        <v>149</v>
      </c>
      <c r="D75" s="99" t="n">
        <v>6</v>
      </c>
      <c r="E75" s="101" t="s">
        <v>186</v>
      </c>
      <c r="F75" s="100"/>
    </row>
    <row r="76" customFormat="false" ht="15" hidden="false" customHeight="true" outlineLevel="0" collapsed="false">
      <c r="A76" s="98" t="n">
        <v>46043</v>
      </c>
      <c r="B76" s="99" t="s">
        <v>67</v>
      </c>
      <c r="C76" s="100" t="s">
        <v>153</v>
      </c>
      <c r="D76" s="99" t="n">
        <v>4</v>
      </c>
      <c r="E76" s="101" t="s">
        <v>187</v>
      </c>
      <c r="F76" s="100"/>
    </row>
    <row r="77" customFormat="false" ht="15" hidden="false" customHeight="true" outlineLevel="0" collapsed="false">
      <c r="A77" s="98" t="n">
        <v>46043</v>
      </c>
      <c r="B77" s="99" t="s">
        <v>68</v>
      </c>
      <c r="C77" s="100" t="s">
        <v>156</v>
      </c>
      <c r="D77" s="99" t="n">
        <v>9</v>
      </c>
      <c r="E77" s="101" t="s">
        <v>188</v>
      </c>
      <c r="F77" s="100"/>
    </row>
    <row r="78" customFormat="false" ht="15" hidden="false" customHeight="true" outlineLevel="0" collapsed="false">
      <c r="A78" s="98" t="n">
        <v>46043</v>
      </c>
      <c r="B78" s="99" t="s">
        <v>69</v>
      </c>
      <c r="C78" s="100" t="s">
        <v>159</v>
      </c>
      <c r="D78" s="99" t="n">
        <v>3</v>
      </c>
      <c r="E78" s="101" t="s">
        <v>189</v>
      </c>
      <c r="F78" s="100"/>
    </row>
    <row r="79" customFormat="false" ht="15" hidden="false" customHeight="true" outlineLevel="0" collapsed="false">
      <c r="A79" s="98" t="n">
        <v>46043</v>
      </c>
      <c r="B79" s="99" t="s">
        <v>70</v>
      </c>
      <c r="C79" s="100" t="s">
        <v>162</v>
      </c>
      <c r="D79" s="99" t="n">
        <v>13</v>
      </c>
      <c r="E79" s="101" t="s">
        <v>185</v>
      </c>
      <c r="F79" s="100"/>
    </row>
    <row r="80" customFormat="false" ht="15" hidden="false" customHeight="true" outlineLevel="0" collapsed="false">
      <c r="A80" s="98" t="n">
        <v>46043</v>
      </c>
      <c r="B80" s="99" t="s">
        <v>71</v>
      </c>
      <c r="C80" s="100" t="s">
        <v>163</v>
      </c>
      <c r="D80" s="99" t="n">
        <v>2</v>
      </c>
      <c r="E80" s="101" t="s">
        <v>186</v>
      </c>
      <c r="F80" s="100"/>
    </row>
    <row r="81" customFormat="false" ht="15" hidden="false" customHeight="true" outlineLevel="0" collapsed="false">
      <c r="A81" s="98" t="n">
        <v>46043</v>
      </c>
      <c r="B81" s="99" t="s">
        <v>72</v>
      </c>
      <c r="C81" s="100" t="s">
        <v>166</v>
      </c>
      <c r="D81" s="99" t="n">
        <v>5</v>
      </c>
      <c r="E81" s="101" t="s">
        <v>187</v>
      </c>
      <c r="F81" s="100"/>
    </row>
    <row r="82" customFormat="false" ht="15" hidden="false" customHeight="true" outlineLevel="0" collapsed="false">
      <c r="A82" s="98" t="n">
        <v>46043</v>
      </c>
      <c r="B82" s="99" t="s">
        <v>73</v>
      </c>
      <c r="C82" s="100" t="s">
        <v>169</v>
      </c>
      <c r="D82" s="99" t="n">
        <v>3</v>
      </c>
      <c r="E82" s="101" t="s">
        <v>188</v>
      </c>
      <c r="F82" s="100"/>
    </row>
    <row r="83" customFormat="false" ht="15" hidden="false" customHeight="true" outlineLevel="0" collapsed="false">
      <c r="A83" s="98" t="n">
        <v>46044</v>
      </c>
      <c r="B83" s="99" t="s">
        <v>66</v>
      </c>
      <c r="C83" s="100" t="s">
        <v>149</v>
      </c>
      <c r="D83" s="99" t="n">
        <v>5</v>
      </c>
      <c r="E83" s="101" t="s">
        <v>185</v>
      </c>
      <c r="F83" s="100"/>
    </row>
    <row r="84" customFormat="false" ht="15" hidden="false" customHeight="true" outlineLevel="0" collapsed="false">
      <c r="A84" s="98" t="n">
        <v>46044</v>
      </c>
      <c r="B84" s="99" t="s">
        <v>67</v>
      </c>
      <c r="C84" s="100" t="s">
        <v>153</v>
      </c>
      <c r="D84" s="99" t="n">
        <v>3</v>
      </c>
      <c r="E84" s="101" t="s">
        <v>186</v>
      </c>
      <c r="F84" s="100"/>
    </row>
    <row r="85" customFormat="false" ht="15" hidden="false" customHeight="true" outlineLevel="0" collapsed="false">
      <c r="A85" s="98" t="n">
        <v>46044</v>
      </c>
      <c r="B85" s="99" t="s">
        <v>68</v>
      </c>
      <c r="C85" s="100" t="s">
        <v>156</v>
      </c>
      <c r="D85" s="99" t="n">
        <v>8</v>
      </c>
      <c r="E85" s="101" t="s">
        <v>187</v>
      </c>
      <c r="F85" s="100"/>
    </row>
    <row r="86" customFormat="false" ht="15" hidden="false" customHeight="true" outlineLevel="0" collapsed="false">
      <c r="A86" s="98" t="n">
        <v>46044</v>
      </c>
      <c r="B86" s="99" t="s">
        <v>69</v>
      </c>
      <c r="C86" s="100" t="s">
        <v>159</v>
      </c>
      <c r="D86" s="99" t="n">
        <v>2</v>
      </c>
      <c r="E86" s="101" t="s">
        <v>188</v>
      </c>
      <c r="F86" s="100"/>
    </row>
    <row r="87" customFormat="false" ht="15" hidden="false" customHeight="true" outlineLevel="0" collapsed="false">
      <c r="A87" s="98" t="n">
        <v>46044</v>
      </c>
      <c r="B87" s="99" t="s">
        <v>70</v>
      </c>
      <c r="C87" s="100" t="s">
        <v>162</v>
      </c>
      <c r="D87" s="99" t="n">
        <v>12</v>
      </c>
      <c r="E87" s="101" t="s">
        <v>189</v>
      </c>
      <c r="F87" s="100"/>
    </row>
    <row r="88" customFormat="false" ht="15" hidden="false" customHeight="true" outlineLevel="0" collapsed="false">
      <c r="A88" s="98" t="n">
        <v>46044</v>
      </c>
      <c r="B88" s="99" t="s">
        <v>71</v>
      </c>
      <c r="C88" s="100" t="s">
        <v>163</v>
      </c>
      <c r="D88" s="99" t="n">
        <v>1</v>
      </c>
      <c r="E88" s="101" t="s">
        <v>185</v>
      </c>
      <c r="F88" s="100"/>
    </row>
    <row r="89" customFormat="false" ht="15" hidden="false" customHeight="true" outlineLevel="0" collapsed="false">
      <c r="A89" s="98" t="n">
        <v>46044</v>
      </c>
      <c r="B89" s="99" t="s">
        <v>72</v>
      </c>
      <c r="C89" s="100" t="s">
        <v>166</v>
      </c>
      <c r="D89" s="99" t="n">
        <v>4</v>
      </c>
      <c r="E89" s="101" t="s">
        <v>186</v>
      </c>
      <c r="F89" s="100"/>
    </row>
    <row r="90" customFormat="false" ht="15" hidden="false" customHeight="true" outlineLevel="0" collapsed="false">
      <c r="A90" s="98" t="n">
        <v>46044</v>
      </c>
      <c r="B90" s="99" t="s">
        <v>73</v>
      </c>
      <c r="C90" s="100" t="s">
        <v>169</v>
      </c>
      <c r="D90" s="99" t="n">
        <v>2</v>
      </c>
      <c r="E90" s="101" t="s">
        <v>187</v>
      </c>
      <c r="F90" s="100"/>
    </row>
    <row r="91" customFormat="false" ht="15" hidden="false" customHeight="true" outlineLevel="0" collapsed="false">
      <c r="A91" s="98" t="n">
        <v>46045</v>
      </c>
      <c r="B91" s="99" t="s">
        <v>66</v>
      </c>
      <c r="C91" s="100" t="s">
        <v>149</v>
      </c>
      <c r="D91" s="99" t="n">
        <v>4</v>
      </c>
      <c r="E91" s="101" t="s">
        <v>189</v>
      </c>
      <c r="F91" s="100"/>
    </row>
    <row r="92" customFormat="false" ht="15" hidden="false" customHeight="true" outlineLevel="0" collapsed="false">
      <c r="A92" s="98" t="n">
        <v>46045</v>
      </c>
      <c r="B92" s="99" t="s">
        <v>67</v>
      </c>
      <c r="C92" s="100" t="s">
        <v>153</v>
      </c>
      <c r="D92" s="99" t="n">
        <v>2</v>
      </c>
      <c r="E92" s="101" t="s">
        <v>185</v>
      </c>
      <c r="F92" s="100"/>
    </row>
    <row r="93" customFormat="false" ht="15" hidden="false" customHeight="true" outlineLevel="0" collapsed="false">
      <c r="A93" s="98" t="n">
        <v>46045</v>
      </c>
      <c r="B93" s="99" t="s">
        <v>68</v>
      </c>
      <c r="C93" s="100" t="s">
        <v>156</v>
      </c>
      <c r="D93" s="99" t="n">
        <v>7</v>
      </c>
      <c r="E93" s="101" t="s">
        <v>186</v>
      </c>
      <c r="F93" s="100"/>
    </row>
    <row r="94" customFormat="false" ht="15" hidden="false" customHeight="true" outlineLevel="0" collapsed="false">
      <c r="A94" s="98" t="n">
        <v>46045</v>
      </c>
      <c r="B94" s="99" t="s">
        <v>69</v>
      </c>
      <c r="C94" s="100" t="s">
        <v>159</v>
      </c>
      <c r="D94" s="99" t="n">
        <v>1</v>
      </c>
      <c r="E94" s="101" t="s">
        <v>187</v>
      </c>
      <c r="F94" s="100"/>
    </row>
    <row r="95" customFormat="false" ht="15" hidden="false" customHeight="true" outlineLevel="0" collapsed="false">
      <c r="A95" s="98" t="n">
        <v>46045</v>
      </c>
      <c r="B95" s="99" t="s">
        <v>70</v>
      </c>
      <c r="C95" s="100" t="s">
        <v>162</v>
      </c>
      <c r="D95" s="99" t="n">
        <v>11</v>
      </c>
      <c r="E95" s="101" t="s">
        <v>188</v>
      </c>
      <c r="F95" s="100"/>
    </row>
    <row r="96" customFormat="false" ht="15" hidden="false" customHeight="true" outlineLevel="0" collapsed="false">
      <c r="A96" s="98" t="n">
        <v>46045</v>
      </c>
      <c r="B96" s="99" t="s">
        <v>71</v>
      </c>
      <c r="C96" s="100" t="s">
        <v>163</v>
      </c>
      <c r="D96" s="99" t="n">
        <v>0</v>
      </c>
      <c r="E96" s="101" t="s">
        <v>189</v>
      </c>
      <c r="F96" s="100"/>
    </row>
    <row r="97" customFormat="false" ht="15" hidden="false" customHeight="true" outlineLevel="0" collapsed="false">
      <c r="A97" s="98" t="n">
        <v>46045</v>
      </c>
      <c r="B97" s="99" t="s">
        <v>72</v>
      </c>
      <c r="C97" s="100" t="s">
        <v>166</v>
      </c>
      <c r="D97" s="99" t="n">
        <v>3</v>
      </c>
      <c r="E97" s="101" t="s">
        <v>185</v>
      </c>
      <c r="F97" s="100"/>
    </row>
    <row r="98" customFormat="false" ht="15" hidden="false" customHeight="true" outlineLevel="0" collapsed="false">
      <c r="A98" s="98" t="n">
        <v>46045</v>
      </c>
      <c r="B98" s="99" t="s">
        <v>73</v>
      </c>
      <c r="C98" s="100" t="s">
        <v>169</v>
      </c>
      <c r="D98" s="99" t="n">
        <v>1</v>
      </c>
      <c r="E98" s="101" t="s">
        <v>186</v>
      </c>
      <c r="F98" s="100"/>
    </row>
    <row r="99" customFormat="false" ht="15" hidden="false" customHeight="true" outlineLevel="0" collapsed="false">
      <c r="A99" s="98" t="n">
        <v>46046</v>
      </c>
      <c r="B99" s="99" t="s">
        <v>66</v>
      </c>
      <c r="C99" s="100" t="s">
        <v>149</v>
      </c>
      <c r="D99" s="99" t="n">
        <v>6</v>
      </c>
      <c r="E99" s="101" t="s">
        <v>188</v>
      </c>
      <c r="F99" s="100"/>
    </row>
    <row r="100" customFormat="false" ht="15" hidden="false" customHeight="true" outlineLevel="0" collapsed="false">
      <c r="A100" s="98" t="n">
        <v>46046</v>
      </c>
      <c r="B100" s="99" t="s">
        <v>67</v>
      </c>
      <c r="C100" s="100" t="s">
        <v>153</v>
      </c>
      <c r="D100" s="99" t="n">
        <v>4</v>
      </c>
      <c r="E100" s="101" t="s">
        <v>189</v>
      </c>
      <c r="F100" s="100"/>
    </row>
    <row r="101" customFormat="false" ht="15" hidden="false" customHeight="true" outlineLevel="0" collapsed="false">
      <c r="A101" s="98" t="n">
        <v>46046</v>
      </c>
      <c r="B101" s="99" t="s">
        <v>68</v>
      </c>
      <c r="C101" s="100" t="s">
        <v>156</v>
      </c>
      <c r="D101" s="99" t="n">
        <v>9</v>
      </c>
      <c r="E101" s="101" t="s">
        <v>185</v>
      </c>
      <c r="F101" s="100"/>
    </row>
    <row r="102" customFormat="false" ht="15" hidden="false" customHeight="true" outlineLevel="0" collapsed="false">
      <c r="A102" s="98" t="n">
        <v>46046</v>
      </c>
      <c r="B102" s="99" t="s">
        <v>69</v>
      </c>
      <c r="C102" s="100" t="s">
        <v>159</v>
      </c>
      <c r="D102" s="99" t="n">
        <v>3</v>
      </c>
      <c r="E102" s="101" t="s">
        <v>186</v>
      </c>
      <c r="F102" s="100"/>
    </row>
    <row r="103" customFormat="false" ht="15" hidden="false" customHeight="true" outlineLevel="0" collapsed="false">
      <c r="A103" s="98" t="n">
        <v>46046</v>
      </c>
      <c r="B103" s="99" t="s">
        <v>70</v>
      </c>
      <c r="C103" s="100" t="s">
        <v>162</v>
      </c>
      <c r="D103" s="99" t="n">
        <v>13</v>
      </c>
      <c r="E103" s="101" t="s">
        <v>187</v>
      </c>
      <c r="F103" s="100"/>
    </row>
    <row r="104" customFormat="false" ht="15" hidden="false" customHeight="true" outlineLevel="0" collapsed="false">
      <c r="A104" s="98" t="n">
        <v>46046</v>
      </c>
      <c r="B104" s="99" t="s">
        <v>71</v>
      </c>
      <c r="C104" s="100" t="s">
        <v>163</v>
      </c>
      <c r="D104" s="99" t="n">
        <v>2</v>
      </c>
      <c r="E104" s="101" t="s">
        <v>188</v>
      </c>
      <c r="F104" s="100"/>
    </row>
    <row r="105" customFormat="false" ht="15" hidden="false" customHeight="true" outlineLevel="0" collapsed="false">
      <c r="A105" s="98" t="n">
        <v>46046</v>
      </c>
      <c r="B105" s="99" t="s">
        <v>72</v>
      </c>
      <c r="C105" s="100" t="s">
        <v>166</v>
      </c>
      <c r="D105" s="99" t="n">
        <v>5</v>
      </c>
      <c r="E105" s="101" t="s">
        <v>189</v>
      </c>
      <c r="F105" s="100"/>
    </row>
    <row r="106" customFormat="false" ht="15" hidden="false" customHeight="true" outlineLevel="0" collapsed="false">
      <c r="A106" s="98" t="n">
        <v>46046</v>
      </c>
      <c r="B106" s="99" t="s">
        <v>73</v>
      </c>
      <c r="C106" s="100" t="s">
        <v>169</v>
      </c>
      <c r="D106" s="99" t="n">
        <v>3</v>
      </c>
      <c r="E106" s="101" t="s">
        <v>185</v>
      </c>
      <c r="F106" s="100"/>
    </row>
    <row r="107" customFormat="false" ht="15" hidden="false" customHeight="true" outlineLevel="0" collapsed="false">
      <c r="A107" s="98" t="n">
        <v>46047</v>
      </c>
      <c r="B107" s="99" t="s">
        <v>66</v>
      </c>
      <c r="C107" s="100" t="s">
        <v>149</v>
      </c>
      <c r="D107" s="99" t="n">
        <v>5</v>
      </c>
      <c r="E107" s="101" t="s">
        <v>187</v>
      </c>
      <c r="F107" s="100"/>
    </row>
    <row r="108" customFormat="false" ht="15" hidden="false" customHeight="true" outlineLevel="0" collapsed="false">
      <c r="A108" s="98" t="n">
        <v>46047</v>
      </c>
      <c r="B108" s="99" t="s">
        <v>67</v>
      </c>
      <c r="C108" s="100" t="s">
        <v>153</v>
      </c>
      <c r="D108" s="99" t="n">
        <v>3</v>
      </c>
      <c r="E108" s="101" t="s">
        <v>188</v>
      </c>
      <c r="F108" s="100"/>
    </row>
    <row r="109" customFormat="false" ht="15" hidden="false" customHeight="true" outlineLevel="0" collapsed="false">
      <c r="A109" s="98" t="n">
        <v>46047</v>
      </c>
      <c r="B109" s="99" t="s">
        <v>68</v>
      </c>
      <c r="C109" s="100" t="s">
        <v>156</v>
      </c>
      <c r="D109" s="99" t="n">
        <v>8</v>
      </c>
      <c r="E109" s="101" t="s">
        <v>189</v>
      </c>
      <c r="F109" s="100"/>
    </row>
    <row r="110" customFormat="false" ht="15" hidden="false" customHeight="true" outlineLevel="0" collapsed="false">
      <c r="A110" s="98" t="n">
        <v>46047</v>
      </c>
      <c r="B110" s="99" t="s">
        <v>69</v>
      </c>
      <c r="C110" s="100" t="s">
        <v>159</v>
      </c>
      <c r="D110" s="99" t="n">
        <v>2</v>
      </c>
      <c r="E110" s="101" t="s">
        <v>185</v>
      </c>
      <c r="F110" s="100"/>
    </row>
    <row r="111" customFormat="false" ht="15" hidden="false" customHeight="true" outlineLevel="0" collapsed="false">
      <c r="A111" s="98" t="n">
        <v>46047</v>
      </c>
      <c r="B111" s="99" t="s">
        <v>70</v>
      </c>
      <c r="C111" s="100" t="s">
        <v>162</v>
      </c>
      <c r="D111" s="99" t="n">
        <v>12</v>
      </c>
      <c r="E111" s="101" t="s">
        <v>186</v>
      </c>
      <c r="F111" s="100"/>
    </row>
    <row r="112" customFormat="false" ht="15" hidden="false" customHeight="true" outlineLevel="0" collapsed="false">
      <c r="A112" s="98" t="n">
        <v>46047</v>
      </c>
      <c r="B112" s="99" t="s">
        <v>71</v>
      </c>
      <c r="C112" s="100" t="s">
        <v>163</v>
      </c>
      <c r="D112" s="99" t="n">
        <v>1</v>
      </c>
      <c r="E112" s="101" t="s">
        <v>187</v>
      </c>
      <c r="F112" s="100"/>
    </row>
    <row r="113" customFormat="false" ht="15" hidden="false" customHeight="true" outlineLevel="0" collapsed="false">
      <c r="A113" s="98" t="n">
        <v>46047</v>
      </c>
      <c r="B113" s="99" t="s">
        <v>72</v>
      </c>
      <c r="C113" s="100" t="s">
        <v>166</v>
      </c>
      <c r="D113" s="99" t="n">
        <v>4</v>
      </c>
      <c r="E113" s="101" t="s">
        <v>188</v>
      </c>
      <c r="F113" s="100"/>
    </row>
    <row r="114" customFormat="false" ht="15" hidden="false" customHeight="true" outlineLevel="0" collapsed="false">
      <c r="A114" s="98" t="n">
        <v>46047</v>
      </c>
      <c r="B114" s="99" t="s">
        <v>73</v>
      </c>
      <c r="C114" s="100" t="s">
        <v>169</v>
      </c>
      <c r="D114" s="99" t="n">
        <v>2</v>
      </c>
      <c r="E114" s="101" t="s">
        <v>189</v>
      </c>
      <c r="F114" s="100"/>
    </row>
    <row r="115" customFormat="false" ht="15" hidden="false" customHeight="true" outlineLevel="0" collapsed="false">
      <c r="A115" s="98" t="n">
        <v>46048</v>
      </c>
      <c r="B115" s="99" t="s">
        <v>66</v>
      </c>
      <c r="C115" s="100" t="s">
        <v>149</v>
      </c>
      <c r="D115" s="99" t="n">
        <v>4</v>
      </c>
      <c r="E115" s="101" t="s">
        <v>186</v>
      </c>
      <c r="F115" s="100"/>
    </row>
    <row r="116" customFormat="false" ht="15" hidden="false" customHeight="true" outlineLevel="0" collapsed="false">
      <c r="A116" s="98" t="n">
        <v>46048</v>
      </c>
      <c r="B116" s="99" t="s">
        <v>67</v>
      </c>
      <c r="C116" s="100" t="s">
        <v>153</v>
      </c>
      <c r="D116" s="99" t="n">
        <v>2</v>
      </c>
      <c r="E116" s="101" t="s">
        <v>187</v>
      </c>
      <c r="F116" s="100"/>
    </row>
    <row r="117" customFormat="false" ht="15" hidden="false" customHeight="true" outlineLevel="0" collapsed="false">
      <c r="A117" s="98" t="n">
        <v>46048</v>
      </c>
      <c r="B117" s="99" t="s">
        <v>68</v>
      </c>
      <c r="C117" s="100" t="s">
        <v>156</v>
      </c>
      <c r="D117" s="99" t="n">
        <v>7</v>
      </c>
      <c r="E117" s="101" t="s">
        <v>188</v>
      </c>
      <c r="F117" s="100"/>
    </row>
    <row r="118" customFormat="false" ht="15" hidden="false" customHeight="true" outlineLevel="0" collapsed="false">
      <c r="A118" s="98" t="n">
        <v>46048</v>
      </c>
      <c r="B118" s="99" t="s">
        <v>69</v>
      </c>
      <c r="C118" s="100" t="s">
        <v>159</v>
      </c>
      <c r="D118" s="99" t="n">
        <v>1</v>
      </c>
      <c r="E118" s="101" t="s">
        <v>189</v>
      </c>
      <c r="F118" s="100"/>
    </row>
    <row r="119" customFormat="false" ht="15" hidden="false" customHeight="true" outlineLevel="0" collapsed="false">
      <c r="A119" s="98" t="n">
        <v>46048</v>
      </c>
      <c r="B119" s="99" t="s">
        <v>70</v>
      </c>
      <c r="C119" s="100" t="s">
        <v>162</v>
      </c>
      <c r="D119" s="99" t="n">
        <v>11</v>
      </c>
      <c r="E119" s="101" t="s">
        <v>185</v>
      </c>
      <c r="F119" s="100"/>
    </row>
    <row r="120" customFormat="false" ht="15" hidden="false" customHeight="true" outlineLevel="0" collapsed="false">
      <c r="A120" s="98" t="n">
        <v>46048</v>
      </c>
      <c r="B120" s="99" t="s">
        <v>71</v>
      </c>
      <c r="C120" s="100" t="s">
        <v>163</v>
      </c>
      <c r="D120" s="99" t="n">
        <v>0</v>
      </c>
      <c r="E120" s="101" t="s">
        <v>186</v>
      </c>
      <c r="F120" s="100"/>
    </row>
    <row r="121" customFormat="false" ht="15" hidden="false" customHeight="true" outlineLevel="0" collapsed="false">
      <c r="A121" s="98" t="n">
        <v>46048</v>
      </c>
      <c r="B121" s="99" t="s">
        <v>72</v>
      </c>
      <c r="C121" s="100" t="s">
        <v>166</v>
      </c>
      <c r="D121" s="99" t="n">
        <v>3</v>
      </c>
      <c r="E121" s="101" t="s">
        <v>187</v>
      </c>
      <c r="F121" s="100"/>
    </row>
    <row r="122" customFormat="false" ht="15" hidden="false" customHeight="true" outlineLevel="0" collapsed="false">
      <c r="A122" s="98" t="n">
        <v>46048</v>
      </c>
      <c r="B122" s="99" t="s">
        <v>73</v>
      </c>
      <c r="C122" s="100" t="s">
        <v>169</v>
      </c>
      <c r="D122" s="99" t="n">
        <v>1</v>
      </c>
      <c r="E122" s="101" t="s">
        <v>188</v>
      </c>
      <c r="F122" s="100"/>
    </row>
    <row r="123" customFormat="false" ht="15" hidden="false" customHeight="true" outlineLevel="0" collapsed="false">
      <c r="A123" s="98" t="n">
        <v>46049</v>
      </c>
      <c r="B123" s="99" t="s">
        <v>66</v>
      </c>
      <c r="C123" s="100" t="s">
        <v>149</v>
      </c>
      <c r="D123" s="99" t="n">
        <v>6</v>
      </c>
      <c r="E123" s="101" t="s">
        <v>185</v>
      </c>
      <c r="F123" s="100"/>
    </row>
    <row r="124" customFormat="false" ht="15" hidden="false" customHeight="true" outlineLevel="0" collapsed="false">
      <c r="A124" s="98" t="n">
        <v>46049</v>
      </c>
      <c r="B124" s="99" t="s">
        <v>67</v>
      </c>
      <c r="C124" s="100" t="s">
        <v>153</v>
      </c>
      <c r="D124" s="99" t="n">
        <v>4</v>
      </c>
      <c r="E124" s="101" t="s">
        <v>186</v>
      </c>
      <c r="F124" s="100"/>
    </row>
    <row r="125" customFormat="false" ht="15" hidden="false" customHeight="true" outlineLevel="0" collapsed="false">
      <c r="A125" s="98" t="n">
        <v>46049</v>
      </c>
      <c r="B125" s="99" t="s">
        <v>68</v>
      </c>
      <c r="C125" s="100" t="s">
        <v>156</v>
      </c>
      <c r="D125" s="99" t="n">
        <v>9</v>
      </c>
      <c r="E125" s="101" t="s">
        <v>187</v>
      </c>
      <c r="F125" s="100"/>
    </row>
    <row r="126" customFormat="false" ht="15" hidden="false" customHeight="true" outlineLevel="0" collapsed="false">
      <c r="A126" s="98" t="n">
        <v>46049</v>
      </c>
      <c r="B126" s="99" t="s">
        <v>69</v>
      </c>
      <c r="C126" s="100" t="s">
        <v>159</v>
      </c>
      <c r="D126" s="99" t="n">
        <v>3</v>
      </c>
      <c r="E126" s="101" t="s">
        <v>188</v>
      </c>
      <c r="F126" s="100"/>
    </row>
    <row r="127" customFormat="false" ht="15" hidden="false" customHeight="true" outlineLevel="0" collapsed="false">
      <c r="A127" s="98" t="n">
        <v>46049</v>
      </c>
      <c r="B127" s="99" t="s">
        <v>70</v>
      </c>
      <c r="C127" s="100" t="s">
        <v>162</v>
      </c>
      <c r="D127" s="99" t="n">
        <v>13</v>
      </c>
      <c r="E127" s="101" t="s">
        <v>189</v>
      </c>
      <c r="F127" s="100"/>
    </row>
    <row r="128" customFormat="false" ht="15" hidden="false" customHeight="true" outlineLevel="0" collapsed="false">
      <c r="A128" s="98" t="n">
        <v>46049</v>
      </c>
      <c r="B128" s="99" t="s">
        <v>71</v>
      </c>
      <c r="C128" s="100" t="s">
        <v>163</v>
      </c>
      <c r="D128" s="99" t="n">
        <v>2</v>
      </c>
      <c r="E128" s="101" t="s">
        <v>185</v>
      </c>
      <c r="F128" s="100"/>
    </row>
    <row r="129" customFormat="false" ht="15" hidden="false" customHeight="true" outlineLevel="0" collapsed="false">
      <c r="A129" s="98" t="n">
        <v>46049</v>
      </c>
      <c r="B129" s="99" t="s">
        <v>72</v>
      </c>
      <c r="C129" s="100" t="s">
        <v>166</v>
      </c>
      <c r="D129" s="99" t="n">
        <v>5</v>
      </c>
      <c r="E129" s="101" t="s">
        <v>186</v>
      </c>
      <c r="F129" s="100"/>
    </row>
    <row r="130" customFormat="false" ht="15" hidden="false" customHeight="true" outlineLevel="0" collapsed="false">
      <c r="A130" s="98" t="n">
        <v>46049</v>
      </c>
      <c r="B130" s="99" t="s">
        <v>73</v>
      </c>
      <c r="C130" s="100" t="s">
        <v>169</v>
      </c>
      <c r="D130" s="99" t="n">
        <v>3</v>
      </c>
      <c r="E130" s="101" t="s">
        <v>187</v>
      </c>
      <c r="F130" s="100"/>
    </row>
    <row r="131" customFormat="false" ht="15" hidden="false" customHeight="true" outlineLevel="0" collapsed="false">
      <c r="A131" s="98" t="n">
        <v>46050</v>
      </c>
      <c r="B131" s="99" t="s">
        <v>66</v>
      </c>
      <c r="C131" s="100" t="s">
        <v>149</v>
      </c>
      <c r="D131" s="99" t="n">
        <v>5</v>
      </c>
      <c r="E131" s="101" t="s">
        <v>189</v>
      </c>
      <c r="F131" s="100"/>
    </row>
    <row r="132" customFormat="false" ht="15" hidden="false" customHeight="true" outlineLevel="0" collapsed="false">
      <c r="A132" s="98" t="n">
        <v>46050</v>
      </c>
      <c r="B132" s="99" t="s">
        <v>67</v>
      </c>
      <c r="C132" s="100" t="s">
        <v>153</v>
      </c>
      <c r="D132" s="99" t="n">
        <v>3</v>
      </c>
      <c r="E132" s="101" t="s">
        <v>185</v>
      </c>
      <c r="F132" s="100"/>
    </row>
    <row r="133" customFormat="false" ht="15" hidden="false" customHeight="true" outlineLevel="0" collapsed="false">
      <c r="A133" s="98" t="n">
        <v>46050</v>
      </c>
      <c r="B133" s="99" t="s">
        <v>68</v>
      </c>
      <c r="C133" s="100" t="s">
        <v>156</v>
      </c>
      <c r="D133" s="99" t="n">
        <v>8</v>
      </c>
      <c r="E133" s="101" t="s">
        <v>186</v>
      </c>
      <c r="F133" s="100"/>
    </row>
    <row r="134" customFormat="false" ht="15" hidden="false" customHeight="true" outlineLevel="0" collapsed="false">
      <c r="A134" s="98" t="n">
        <v>46050</v>
      </c>
      <c r="B134" s="99" t="s">
        <v>69</v>
      </c>
      <c r="C134" s="100" t="s">
        <v>159</v>
      </c>
      <c r="D134" s="99" t="n">
        <v>2</v>
      </c>
      <c r="E134" s="101" t="s">
        <v>187</v>
      </c>
      <c r="F134" s="100"/>
    </row>
    <row r="135" customFormat="false" ht="15" hidden="false" customHeight="true" outlineLevel="0" collapsed="false">
      <c r="A135" s="98" t="n">
        <v>46050</v>
      </c>
      <c r="B135" s="99" t="s">
        <v>70</v>
      </c>
      <c r="C135" s="100" t="s">
        <v>162</v>
      </c>
      <c r="D135" s="99" t="n">
        <v>12</v>
      </c>
      <c r="E135" s="101" t="s">
        <v>188</v>
      </c>
      <c r="F135" s="100"/>
    </row>
    <row r="136" customFormat="false" ht="15" hidden="false" customHeight="true" outlineLevel="0" collapsed="false">
      <c r="A136" s="98" t="n">
        <v>46050</v>
      </c>
      <c r="B136" s="99" t="s">
        <v>71</v>
      </c>
      <c r="C136" s="100" t="s">
        <v>163</v>
      </c>
      <c r="D136" s="99" t="n">
        <v>1</v>
      </c>
      <c r="E136" s="101" t="s">
        <v>189</v>
      </c>
      <c r="F136" s="100"/>
    </row>
    <row r="137" customFormat="false" ht="15" hidden="false" customHeight="true" outlineLevel="0" collapsed="false">
      <c r="A137" s="98" t="n">
        <v>46050</v>
      </c>
      <c r="B137" s="99" t="s">
        <v>72</v>
      </c>
      <c r="C137" s="100" t="s">
        <v>166</v>
      </c>
      <c r="D137" s="99" t="n">
        <v>4</v>
      </c>
      <c r="E137" s="101" t="s">
        <v>185</v>
      </c>
      <c r="F137" s="100"/>
    </row>
    <row r="138" customFormat="false" ht="15" hidden="false" customHeight="true" outlineLevel="0" collapsed="false">
      <c r="A138" s="98" t="n">
        <v>46050</v>
      </c>
      <c r="B138" s="99" t="s">
        <v>73</v>
      </c>
      <c r="C138" s="100" t="s">
        <v>169</v>
      </c>
      <c r="D138" s="99" t="n">
        <v>2</v>
      </c>
      <c r="E138" s="101" t="s">
        <v>186</v>
      </c>
      <c r="F138" s="100"/>
    </row>
    <row r="139" customFormat="false" ht="15" hidden="false" customHeight="true" outlineLevel="0" collapsed="false">
      <c r="A139" s="98" t="n">
        <v>46051</v>
      </c>
      <c r="B139" s="99" t="s">
        <v>66</v>
      </c>
      <c r="C139" s="100" t="s">
        <v>149</v>
      </c>
      <c r="D139" s="99" t="n">
        <v>4</v>
      </c>
      <c r="E139" s="101" t="s">
        <v>188</v>
      </c>
      <c r="F139" s="100"/>
    </row>
    <row r="140" customFormat="false" ht="15" hidden="false" customHeight="true" outlineLevel="0" collapsed="false">
      <c r="A140" s="98" t="n">
        <v>46051</v>
      </c>
      <c r="B140" s="99" t="s">
        <v>67</v>
      </c>
      <c r="C140" s="100" t="s">
        <v>153</v>
      </c>
      <c r="D140" s="99" t="n">
        <v>2</v>
      </c>
      <c r="E140" s="101" t="s">
        <v>189</v>
      </c>
      <c r="F140" s="100"/>
    </row>
    <row r="141" customFormat="false" ht="15" hidden="false" customHeight="true" outlineLevel="0" collapsed="false">
      <c r="A141" s="98" t="n">
        <v>46051</v>
      </c>
      <c r="B141" s="99" t="s">
        <v>68</v>
      </c>
      <c r="C141" s="100" t="s">
        <v>156</v>
      </c>
      <c r="D141" s="99" t="n">
        <v>7</v>
      </c>
      <c r="E141" s="101" t="s">
        <v>185</v>
      </c>
      <c r="F141" s="100"/>
    </row>
    <row r="142" customFormat="false" ht="15" hidden="false" customHeight="true" outlineLevel="0" collapsed="false">
      <c r="A142" s="98" t="n">
        <v>46051</v>
      </c>
      <c r="B142" s="99" t="s">
        <v>69</v>
      </c>
      <c r="C142" s="100" t="s">
        <v>159</v>
      </c>
      <c r="D142" s="99" t="n">
        <v>1</v>
      </c>
      <c r="E142" s="101" t="s">
        <v>186</v>
      </c>
      <c r="F142" s="100"/>
    </row>
    <row r="143" customFormat="false" ht="15" hidden="false" customHeight="true" outlineLevel="0" collapsed="false">
      <c r="A143" s="98" t="n">
        <v>46051</v>
      </c>
      <c r="B143" s="99" t="s">
        <v>70</v>
      </c>
      <c r="C143" s="100" t="s">
        <v>162</v>
      </c>
      <c r="D143" s="99" t="n">
        <v>11</v>
      </c>
      <c r="E143" s="101" t="s">
        <v>187</v>
      </c>
      <c r="F143" s="100"/>
    </row>
    <row r="144" customFormat="false" ht="15" hidden="false" customHeight="true" outlineLevel="0" collapsed="false">
      <c r="A144" s="98" t="n">
        <v>46051</v>
      </c>
      <c r="B144" s="99" t="s">
        <v>71</v>
      </c>
      <c r="C144" s="100" t="s">
        <v>163</v>
      </c>
      <c r="D144" s="99" t="n">
        <v>0</v>
      </c>
      <c r="E144" s="101" t="s">
        <v>188</v>
      </c>
      <c r="F144" s="100"/>
    </row>
    <row r="145" customFormat="false" ht="15" hidden="false" customHeight="true" outlineLevel="0" collapsed="false">
      <c r="A145" s="98" t="n">
        <v>46051</v>
      </c>
      <c r="B145" s="99" t="s">
        <v>72</v>
      </c>
      <c r="C145" s="100" t="s">
        <v>166</v>
      </c>
      <c r="D145" s="99" t="n">
        <v>3</v>
      </c>
      <c r="E145" s="101" t="s">
        <v>189</v>
      </c>
      <c r="F145" s="100"/>
    </row>
    <row r="146" customFormat="false" ht="15" hidden="false" customHeight="true" outlineLevel="0" collapsed="false">
      <c r="A146" s="98" t="n">
        <v>46051</v>
      </c>
      <c r="B146" s="99" t="s">
        <v>73</v>
      </c>
      <c r="C146" s="100" t="s">
        <v>169</v>
      </c>
      <c r="D146" s="99" t="n">
        <v>1</v>
      </c>
      <c r="E146" s="101" t="s">
        <v>185</v>
      </c>
      <c r="F146" s="100"/>
    </row>
    <row r="147" customFormat="false" ht="15" hidden="false" customHeight="true" outlineLevel="0" collapsed="false">
      <c r="A147" s="98" t="n">
        <v>46052</v>
      </c>
      <c r="B147" s="99" t="s">
        <v>66</v>
      </c>
      <c r="C147" s="100" t="s">
        <v>149</v>
      </c>
      <c r="D147" s="99" t="n">
        <v>6</v>
      </c>
      <c r="E147" s="101" t="s">
        <v>187</v>
      </c>
      <c r="F147" s="100"/>
    </row>
    <row r="148" customFormat="false" ht="15" hidden="false" customHeight="true" outlineLevel="0" collapsed="false">
      <c r="A148" s="98" t="n">
        <v>46052</v>
      </c>
      <c r="B148" s="99" t="s">
        <v>67</v>
      </c>
      <c r="C148" s="100" t="s">
        <v>153</v>
      </c>
      <c r="D148" s="99" t="n">
        <v>4</v>
      </c>
      <c r="E148" s="101" t="s">
        <v>188</v>
      </c>
      <c r="F148" s="100"/>
    </row>
    <row r="149" customFormat="false" ht="15" hidden="false" customHeight="true" outlineLevel="0" collapsed="false">
      <c r="A149" s="98" t="n">
        <v>46052</v>
      </c>
      <c r="B149" s="99" t="s">
        <v>68</v>
      </c>
      <c r="C149" s="100" t="s">
        <v>156</v>
      </c>
      <c r="D149" s="99" t="n">
        <v>9</v>
      </c>
      <c r="E149" s="101" t="s">
        <v>189</v>
      </c>
      <c r="F149" s="100"/>
    </row>
    <row r="150" customFormat="false" ht="15" hidden="false" customHeight="true" outlineLevel="0" collapsed="false">
      <c r="A150" s="98" t="n">
        <v>46052</v>
      </c>
      <c r="B150" s="99" t="s">
        <v>69</v>
      </c>
      <c r="C150" s="100" t="s">
        <v>159</v>
      </c>
      <c r="D150" s="99" t="n">
        <v>3</v>
      </c>
      <c r="E150" s="101" t="s">
        <v>185</v>
      </c>
      <c r="F150" s="100"/>
    </row>
    <row r="151" customFormat="false" ht="15" hidden="false" customHeight="true" outlineLevel="0" collapsed="false">
      <c r="A151" s="98" t="n">
        <v>46052</v>
      </c>
      <c r="B151" s="99" t="s">
        <v>70</v>
      </c>
      <c r="C151" s="100" t="s">
        <v>162</v>
      </c>
      <c r="D151" s="99" t="n">
        <v>13</v>
      </c>
      <c r="E151" s="101" t="s">
        <v>186</v>
      </c>
      <c r="F151" s="100"/>
    </row>
    <row r="152" customFormat="false" ht="15" hidden="false" customHeight="true" outlineLevel="0" collapsed="false">
      <c r="A152" s="98" t="n">
        <v>46052</v>
      </c>
      <c r="B152" s="99" t="s">
        <v>71</v>
      </c>
      <c r="C152" s="100" t="s">
        <v>163</v>
      </c>
      <c r="D152" s="99" t="n">
        <v>2</v>
      </c>
      <c r="E152" s="101" t="s">
        <v>187</v>
      </c>
      <c r="F152" s="100"/>
    </row>
    <row r="153" customFormat="false" ht="15" hidden="false" customHeight="true" outlineLevel="0" collapsed="false">
      <c r="A153" s="98" t="n">
        <v>46052</v>
      </c>
      <c r="B153" s="99" t="s">
        <v>72</v>
      </c>
      <c r="C153" s="100" t="s">
        <v>166</v>
      </c>
      <c r="D153" s="99" t="n">
        <v>5</v>
      </c>
      <c r="E153" s="101" t="s">
        <v>188</v>
      </c>
      <c r="F153" s="100"/>
    </row>
    <row r="154" customFormat="false" ht="15" hidden="false" customHeight="true" outlineLevel="0" collapsed="false">
      <c r="A154" s="98" t="n">
        <v>46052</v>
      </c>
      <c r="B154" s="99" t="s">
        <v>73</v>
      </c>
      <c r="C154" s="100" t="s">
        <v>169</v>
      </c>
      <c r="D154" s="99" t="n">
        <v>3</v>
      </c>
      <c r="E154" s="101" t="s">
        <v>189</v>
      </c>
      <c r="F154" s="100"/>
    </row>
    <row r="155" customFormat="false" ht="15" hidden="false" customHeight="true" outlineLevel="0" collapsed="false">
      <c r="A155" s="98" t="n">
        <v>46053</v>
      </c>
      <c r="B155" s="99" t="s">
        <v>66</v>
      </c>
      <c r="C155" s="100" t="s">
        <v>149</v>
      </c>
      <c r="D155" s="99" t="n">
        <v>5</v>
      </c>
      <c r="E155" s="101" t="s">
        <v>186</v>
      </c>
      <c r="F155" s="100"/>
    </row>
    <row r="156" customFormat="false" ht="15" hidden="false" customHeight="true" outlineLevel="0" collapsed="false">
      <c r="A156" s="98" t="n">
        <v>46053</v>
      </c>
      <c r="B156" s="99" t="s">
        <v>67</v>
      </c>
      <c r="C156" s="100" t="s">
        <v>153</v>
      </c>
      <c r="D156" s="99" t="n">
        <v>3</v>
      </c>
      <c r="E156" s="101" t="s">
        <v>187</v>
      </c>
      <c r="F156" s="100"/>
    </row>
    <row r="157" customFormat="false" ht="15" hidden="false" customHeight="true" outlineLevel="0" collapsed="false">
      <c r="A157" s="98" t="n">
        <v>46053</v>
      </c>
      <c r="B157" s="99" t="s">
        <v>68</v>
      </c>
      <c r="C157" s="100" t="s">
        <v>156</v>
      </c>
      <c r="D157" s="99" t="n">
        <v>8</v>
      </c>
      <c r="E157" s="101" t="s">
        <v>188</v>
      </c>
      <c r="F157" s="100"/>
    </row>
    <row r="158" customFormat="false" ht="15" hidden="false" customHeight="true" outlineLevel="0" collapsed="false">
      <c r="A158" s="98" t="n">
        <v>46053</v>
      </c>
      <c r="B158" s="99" t="s">
        <v>69</v>
      </c>
      <c r="C158" s="100" t="s">
        <v>159</v>
      </c>
      <c r="D158" s="99" t="n">
        <v>2</v>
      </c>
      <c r="E158" s="101" t="s">
        <v>189</v>
      </c>
      <c r="F158" s="100"/>
    </row>
    <row r="159" customFormat="false" ht="15" hidden="false" customHeight="true" outlineLevel="0" collapsed="false">
      <c r="A159" s="98" t="n">
        <v>46053</v>
      </c>
      <c r="B159" s="99" t="s">
        <v>70</v>
      </c>
      <c r="C159" s="100" t="s">
        <v>162</v>
      </c>
      <c r="D159" s="99" t="n">
        <v>12</v>
      </c>
      <c r="E159" s="101" t="s">
        <v>185</v>
      </c>
      <c r="F159" s="100"/>
    </row>
    <row r="160" customFormat="false" ht="15" hidden="false" customHeight="true" outlineLevel="0" collapsed="false">
      <c r="A160" s="98" t="n">
        <v>46053</v>
      </c>
      <c r="B160" s="99" t="s">
        <v>71</v>
      </c>
      <c r="C160" s="100" t="s">
        <v>163</v>
      </c>
      <c r="D160" s="99" t="n">
        <v>1</v>
      </c>
      <c r="E160" s="101" t="s">
        <v>186</v>
      </c>
      <c r="F160" s="100"/>
    </row>
    <row r="161" customFormat="false" ht="15" hidden="false" customHeight="true" outlineLevel="0" collapsed="false">
      <c r="A161" s="98" t="n">
        <v>46053</v>
      </c>
      <c r="B161" s="99" t="s">
        <v>72</v>
      </c>
      <c r="C161" s="100" t="s">
        <v>166</v>
      </c>
      <c r="D161" s="99" t="n">
        <v>4</v>
      </c>
      <c r="E161" s="101" t="s">
        <v>187</v>
      </c>
      <c r="F161" s="100"/>
    </row>
    <row r="162" customFormat="false" ht="15" hidden="false" customHeight="true" outlineLevel="0" collapsed="false">
      <c r="A162" s="98" t="n">
        <v>46053</v>
      </c>
      <c r="B162" s="99" t="s">
        <v>73</v>
      </c>
      <c r="C162" s="100" t="s">
        <v>169</v>
      </c>
      <c r="D162" s="99" t="n">
        <v>2</v>
      </c>
      <c r="E162" s="101" t="s">
        <v>188</v>
      </c>
      <c r="F162" s="100"/>
    </row>
    <row r="163" customFormat="false" ht="15" hidden="false" customHeight="true" outlineLevel="0" collapsed="false">
      <c r="A163" s="98" t="n">
        <v>46054</v>
      </c>
      <c r="B163" s="99" t="s">
        <v>66</v>
      </c>
      <c r="C163" s="100" t="s">
        <v>149</v>
      </c>
      <c r="D163" s="99" t="n">
        <v>4</v>
      </c>
      <c r="E163" s="101" t="s">
        <v>185</v>
      </c>
      <c r="F163" s="100"/>
    </row>
    <row r="164" customFormat="false" ht="15" hidden="false" customHeight="true" outlineLevel="0" collapsed="false">
      <c r="A164" s="98" t="n">
        <v>46054</v>
      </c>
      <c r="B164" s="99" t="s">
        <v>67</v>
      </c>
      <c r="C164" s="100" t="s">
        <v>153</v>
      </c>
      <c r="D164" s="99" t="n">
        <v>2</v>
      </c>
      <c r="E164" s="101" t="s">
        <v>186</v>
      </c>
      <c r="F164" s="100"/>
    </row>
    <row r="165" customFormat="false" ht="15" hidden="false" customHeight="true" outlineLevel="0" collapsed="false">
      <c r="A165" s="98" t="n">
        <v>46054</v>
      </c>
      <c r="B165" s="99" t="s">
        <v>68</v>
      </c>
      <c r="C165" s="100" t="s">
        <v>156</v>
      </c>
      <c r="D165" s="99" t="n">
        <v>7</v>
      </c>
      <c r="E165" s="101" t="s">
        <v>187</v>
      </c>
      <c r="F165" s="100"/>
    </row>
    <row r="166" customFormat="false" ht="15" hidden="false" customHeight="true" outlineLevel="0" collapsed="false">
      <c r="A166" s="98" t="n">
        <v>46054</v>
      </c>
      <c r="B166" s="99" t="s">
        <v>69</v>
      </c>
      <c r="C166" s="100" t="s">
        <v>159</v>
      </c>
      <c r="D166" s="99" t="n">
        <v>1</v>
      </c>
      <c r="E166" s="101" t="s">
        <v>188</v>
      </c>
      <c r="F166" s="100"/>
    </row>
    <row r="167" customFormat="false" ht="15" hidden="false" customHeight="true" outlineLevel="0" collapsed="false">
      <c r="A167" s="98" t="n">
        <v>46054</v>
      </c>
      <c r="B167" s="99" t="s">
        <v>70</v>
      </c>
      <c r="C167" s="100" t="s">
        <v>162</v>
      </c>
      <c r="D167" s="99" t="n">
        <v>11</v>
      </c>
      <c r="E167" s="101" t="s">
        <v>189</v>
      </c>
      <c r="F167" s="100"/>
    </row>
    <row r="168" customFormat="false" ht="15" hidden="false" customHeight="true" outlineLevel="0" collapsed="false">
      <c r="A168" s="98" t="n">
        <v>46054</v>
      </c>
      <c r="B168" s="99" t="s">
        <v>71</v>
      </c>
      <c r="C168" s="100" t="s">
        <v>163</v>
      </c>
      <c r="D168" s="99" t="n">
        <v>0</v>
      </c>
      <c r="E168" s="101" t="s">
        <v>185</v>
      </c>
      <c r="F168" s="100"/>
    </row>
    <row r="169" customFormat="false" ht="15" hidden="false" customHeight="true" outlineLevel="0" collapsed="false">
      <c r="A169" s="98" t="n">
        <v>46054</v>
      </c>
      <c r="B169" s="99" t="s">
        <v>72</v>
      </c>
      <c r="C169" s="100" t="s">
        <v>166</v>
      </c>
      <c r="D169" s="99" t="n">
        <v>3</v>
      </c>
      <c r="E169" s="101" t="s">
        <v>186</v>
      </c>
      <c r="F169" s="100"/>
    </row>
    <row r="170" customFormat="false" ht="15" hidden="false" customHeight="true" outlineLevel="0" collapsed="false">
      <c r="A170" s="98" t="n">
        <v>46054</v>
      </c>
      <c r="B170" s="99" t="s">
        <v>73</v>
      </c>
      <c r="C170" s="100" t="s">
        <v>169</v>
      </c>
      <c r="D170" s="99" t="n">
        <v>1</v>
      </c>
      <c r="E170" s="101" t="s">
        <v>187</v>
      </c>
      <c r="F170" s="100"/>
    </row>
    <row r="171" customFormat="false" ht="15" hidden="false" customHeight="true" outlineLevel="0" collapsed="false">
      <c r="A171" s="98" t="n">
        <v>46055</v>
      </c>
      <c r="B171" s="99" t="s">
        <v>66</v>
      </c>
      <c r="C171" s="100" t="s">
        <v>149</v>
      </c>
      <c r="D171" s="99" t="n">
        <v>6</v>
      </c>
      <c r="E171" s="101" t="s">
        <v>189</v>
      </c>
      <c r="F171" s="100"/>
    </row>
    <row r="172" customFormat="false" ht="15" hidden="false" customHeight="true" outlineLevel="0" collapsed="false">
      <c r="A172" s="98" t="n">
        <v>46055</v>
      </c>
      <c r="B172" s="99" t="s">
        <v>67</v>
      </c>
      <c r="C172" s="100" t="s">
        <v>153</v>
      </c>
      <c r="D172" s="99" t="n">
        <v>4</v>
      </c>
      <c r="E172" s="101" t="s">
        <v>185</v>
      </c>
      <c r="F172" s="100"/>
    </row>
    <row r="173" customFormat="false" ht="15" hidden="false" customHeight="true" outlineLevel="0" collapsed="false">
      <c r="A173" s="98" t="n">
        <v>46055</v>
      </c>
      <c r="B173" s="99" t="s">
        <v>68</v>
      </c>
      <c r="C173" s="100" t="s">
        <v>156</v>
      </c>
      <c r="D173" s="99" t="n">
        <v>9</v>
      </c>
      <c r="E173" s="101" t="s">
        <v>186</v>
      </c>
      <c r="F173" s="100"/>
    </row>
    <row r="174" customFormat="false" ht="15" hidden="false" customHeight="true" outlineLevel="0" collapsed="false">
      <c r="A174" s="98" t="n">
        <v>46055</v>
      </c>
      <c r="B174" s="99" t="s">
        <v>69</v>
      </c>
      <c r="C174" s="100" t="s">
        <v>159</v>
      </c>
      <c r="D174" s="99" t="n">
        <v>3</v>
      </c>
      <c r="E174" s="101" t="s">
        <v>187</v>
      </c>
      <c r="F174" s="100"/>
    </row>
    <row r="175" customFormat="false" ht="15" hidden="false" customHeight="true" outlineLevel="0" collapsed="false">
      <c r="A175" s="98" t="n">
        <v>46055</v>
      </c>
      <c r="B175" s="99" t="s">
        <v>70</v>
      </c>
      <c r="C175" s="100" t="s">
        <v>162</v>
      </c>
      <c r="D175" s="99" t="n">
        <v>13</v>
      </c>
      <c r="E175" s="101" t="s">
        <v>188</v>
      </c>
      <c r="F175" s="100"/>
    </row>
    <row r="176" customFormat="false" ht="15" hidden="false" customHeight="true" outlineLevel="0" collapsed="false">
      <c r="A176" s="98" t="n">
        <v>46055</v>
      </c>
      <c r="B176" s="99" t="s">
        <v>71</v>
      </c>
      <c r="C176" s="100" t="s">
        <v>163</v>
      </c>
      <c r="D176" s="99" t="n">
        <v>2</v>
      </c>
      <c r="E176" s="101" t="s">
        <v>189</v>
      </c>
      <c r="F176" s="100"/>
    </row>
    <row r="177" customFormat="false" ht="15" hidden="false" customHeight="true" outlineLevel="0" collapsed="false">
      <c r="A177" s="98" t="n">
        <v>46055</v>
      </c>
      <c r="B177" s="99" t="s">
        <v>72</v>
      </c>
      <c r="C177" s="100" t="s">
        <v>166</v>
      </c>
      <c r="D177" s="99" t="n">
        <v>5</v>
      </c>
      <c r="E177" s="101" t="s">
        <v>185</v>
      </c>
      <c r="F177" s="100"/>
    </row>
    <row r="178" customFormat="false" ht="15" hidden="false" customHeight="true" outlineLevel="0" collapsed="false">
      <c r="A178" s="98" t="n">
        <v>46055</v>
      </c>
      <c r="B178" s="99" t="s">
        <v>73</v>
      </c>
      <c r="C178" s="100" t="s">
        <v>169</v>
      </c>
      <c r="D178" s="99" t="n">
        <v>3</v>
      </c>
      <c r="E178" s="101" t="s">
        <v>186</v>
      </c>
      <c r="F178" s="100"/>
    </row>
    <row r="179" customFormat="false" ht="15" hidden="false" customHeight="true" outlineLevel="0" collapsed="false">
      <c r="A179" s="98" t="n">
        <v>46056</v>
      </c>
      <c r="B179" s="99" t="s">
        <v>66</v>
      </c>
      <c r="C179" s="100" t="s">
        <v>149</v>
      </c>
      <c r="D179" s="99" t="n">
        <v>5</v>
      </c>
      <c r="E179" s="101" t="s">
        <v>188</v>
      </c>
      <c r="F179" s="100"/>
    </row>
    <row r="180" customFormat="false" ht="15" hidden="false" customHeight="true" outlineLevel="0" collapsed="false">
      <c r="A180" s="98" t="n">
        <v>46056</v>
      </c>
      <c r="B180" s="99" t="s">
        <v>67</v>
      </c>
      <c r="C180" s="100" t="s">
        <v>153</v>
      </c>
      <c r="D180" s="99" t="n">
        <v>3</v>
      </c>
      <c r="E180" s="101" t="s">
        <v>189</v>
      </c>
      <c r="F180" s="100"/>
    </row>
    <row r="181" customFormat="false" ht="15" hidden="false" customHeight="true" outlineLevel="0" collapsed="false">
      <c r="A181" s="98" t="n">
        <v>46056</v>
      </c>
      <c r="B181" s="99" t="s">
        <v>68</v>
      </c>
      <c r="C181" s="100" t="s">
        <v>156</v>
      </c>
      <c r="D181" s="99" t="n">
        <v>8</v>
      </c>
      <c r="E181" s="101" t="s">
        <v>185</v>
      </c>
      <c r="F181" s="100"/>
    </row>
    <row r="182" customFormat="false" ht="15" hidden="false" customHeight="true" outlineLevel="0" collapsed="false">
      <c r="A182" s="98" t="n">
        <v>46056</v>
      </c>
      <c r="B182" s="99" t="s">
        <v>69</v>
      </c>
      <c r="C182" s="100" t="s">
        <v>159</v>
      </c>
      <c r="D182" s="99" t="n">
        <v>2</v>
      </c>
      <c r="E182" s="101" t="s">
        <v>186</v>
      </c>
      <c r="F182" s="100"/>
    </row>
    <row r="183" customFormat="false" ht="15" hidden="false" customHeight="true" outlineLevel="0" collapsed="false">
      <c r="A183" s="98" t="n">
        <v>46056</v>
      </c>
      <c r="B183" s="99" t="s">
        <v>70</v>
      </c>
      <c r="C183" s="100" t="s">
        <v>162</v>
      </c>
      <c r="D183" s="99" t="n">
        <v>12</v>
      </c>
      <c r="E183" s="101" t="s">
        <v>187</v>
      </c>
      <c r="F183" s="100"/>
    </row>
    <row r="184" customFormat="false" ht="15" hidden="false" customHeight="true" outlineLevel="0" collapsed="false">
      <c r="A184" s="98" t="n">
        <v>46056</v>
      </c>
      <c r="B184" s="99" t="s">
        <v>71</v>
      </c>
      <c r="C184" s="100" t="s">
        <v>163</v>
      </c>
      <c r="D184" s="99" t="n">
        <v>1</v>
      </c>
      <c r="E184" s="101" t="s">
        <v>188</v>
      </c>
      <c r="F184" s="100"/>
    </row>
    <row r="185" customFormat="false" ht="15" hidden="false" customHeight="true" outlineLevel="0" collapsed="false">
      <c r="A185" s="98" t="n">
        <v>46056</v>
      </c>
      <c r="B185" s="99" t="s">
        <v>72</v>
      </c>
      <c r="C185" s="100" t="s">
        <v>166</v>
      </c>
      <c r="D185" s="99" t="n">
        <v>4</v>
      </c>
      <c r="E185" s="101" t="s">
        <v>189</v>
      </c>
      <c r="F185" s="100"/>
    </row>
    <row r="186" customFormat="false" ht="15" hidden="false" customHeight="true" outlineLevel="0" collapsed="false">
      <c r="A186" s="98" t="n">
        <v>46056</v>
      </c>
      <c r="B186" s="99" t="s">
        <v>73</v>
      </c>
      <c r="C186" s="100" t="s">
        <v>169</v>
      </c>
      <c r="D186" s="99" t="n">
        <v>2</v>
      </c>
      <c r="E186" s="101" t="s">
        <v>185</v>
      </c>
      <c r="F186" s="100"/>
    </row>
    <row r="187" customFormat="false" ht="15" hidden="false" customHeight="true" outlineLevel="0" collapsed="false">
      <c r="A187" s="98" t="n">
        <v>46057</v>
      </c>
      <c r="B187" s="99" t="s">
        <v>66</v>
      </c>
      <c r="C187" s="100" t="s">
        <v>149</v>
      </c>
      <c r="D187" s="99" t="n">
        <v>4</v>
      </c>
      <c r="E187" s="101" t="s">
        <v>187</v>
      </c>
      <c r="F187" s="100"/>
    </row>
    <row r="188" customFormat="false" ht="15" hidden="false" customHeight="true" outlineLevel="0" collapsed="false">
      <c r="A188" s="98" t="n">
        <v>46057</v>
      </c>
      <c r="B188" s="99" t="s">
        <v>67</v>
      </c>
      <c r="C188" s="100" t="s">
        <v>153</v>
      </c>
      <c r="D188" s="99" t="n">
        <v>2</v>
      </c>
      <c r="E188" s="101" t="s">
        <v>188</v>
      </c>
      <c r="F188" s="100"/>
    </row>
    <row r="189" customFormat="false" ht="15" hidden="false" customHeight="true" outlineLevel="0" collapsed="false">
      <c r="A189" s="98" t="n">
        <v>46057</v>
      </c>
      <c r="B189" s="99" t="s">
        <v>68</v>
      </c>
      <c r="C189" s="100" t="s">
        <v>156</v>
      </c>
      <c r="D189" s="99" t="n">
        <v>7</v>
      </c>
      <c r="E189" s="101" t="s">
        <v>189</v>
      </c>
      <c r="F189" s="100"/>
    </row>
    <row r="190" customFormat="false" ht="15" hidden="false" customHeight="true" outlineLevel="0" collapsed="false">
      <c r="A190" s="98" t="n">
        <v>46057</v>
      </c>
      <c r="B190" s="99" t="s">
        <v>69</v>
      </c>
      <c r="C190" s="100" t="s">
        <v>159</v>
      </c>
      <c r="D190" s="99" t="n">
        <v>1</v>
      </c>
      <c r="E190" s="101" t="s">
        <v>185</v>
      </c>
      <c r="F190" s="100"/>
    </row>
    <row r="191" customFormat="false" ht="15" hidden="false" customHeight="true" outlineLevel="0" collapsed="false">
      <c r="A191" s="98" t="n">
        <v>46057</v>
      </c>
      <c r="B191" s="99" t="s">
        <v>70</v>
      </c>
      <c r="C191" s="100" t="s">
        <v>162</v>
      </c>
      <c r="D191" s="99" t="n">
        <v>11</v>
      </c>
      <c r="E191" s="101" t="s">
        <v>186</v>
      </c>
      <c r="F191" s="100"/>
    </row>
    <row r="192" customFormat="false" ht="15" hidden="false" customHeight="true" outlineLevel="0" collapsed="false">
      <c r="A192" s="98" t="n">
        <v>46057</v>
      </c>
      <c r="B192" s="99" t="s">
        <v>71</v>
      </c>
      <c r="C192" s="100" t="s">
        <v>163</v>
      </c>
      <c r="D192" s="99" t="n">
        <v>0</v>
      </c>
      <c r="E192" s="101" t="s">
        <v>187</v>
      </c>
      <c r="F192" s="100"/>
    </row>
    <row r="193" customFormat="false" ht="15" hidden="false" customHeight="true" outlineLevel="0" collapsed="false">
      <c r="A193" s="98" t="n">
        <v>46057</v>
      </c>
      <c r="B193" s="99" t="s">
        <v>72</v>
      </c>
      <c r="C193" s="100" t="s">
        <v>166</v>
      </c>
      <c r="D193" s="99" t="n">
        <v>3</v>
      </c>
      <c r="E193" s="101" t="s">
        <v>188</v>
      </c>
      <c r="F193" s="100"/>
    </row>
    <row r="194" customFormat="false" ht="15" hidden="false" customHeight="true" outlineLevel="0" collapsed="false">
      <c r="A194" s="98" t="n">
        <v>46057</v>
      </c>
      <c r="B194" s="99" t="s">
        <v>73</v>
      </c>
      <c r="C194" s="100" t="s">
        <v>169</v>
      </c>
      <c r="D194" s="99" t="n">
        <v>1</v>
      </c>
      <c r="E194" s="101" t="s">
        <v>189</v>
      </c>
      <c r="F194" s="100"/>
    </row>
    <row r="195" customFormat="false" ht="15" hidden="false" customHeight="true" outlineLevel="0" collapsed="false">
      <c r="A195" s="98" t="n">
        <v>46058</v>
      </c>
      <c r="B195" s="99" t="s">
        <v>66</v>
      </c>
      <c r="C195" s="100" t="s">
        <v>149</v>
      </c>
      <c r="D195" s="99" t="n">
        <v>6</v>
      </c>
      <c r="E195" s="101" t="s">
        <v>186</v>
      </c>
      <c r="F195" s="100"/>
    </row>
    <row r="196" customFormat="false" ht="15" hidden="false" customHeight="true" outlineLevel="0" collapsed="false">
      <c r="A196" s="98" t="n">
        <v>46058</v>
      </c>
      <c r="B196" s="99" t="s">
        <v>67</v>
      </c>
      <c r="C196" s="100" t="s">
        <v>153</v>
      </c>
      <c r="D196" s="99" t="n">
        <v>4</v>
      </c>
      <c r="E196" s="101" t="s">
        <v>187</v>
      </c>
      <c r="F196" s="100"/>
    </row>
    <row r="197" customFormat="false" ht="15" hidden="false" customHeight="true" outlineLevel="0" collapsed="false">
      <c r="A197" s="98" t="n">
        <v>46058</v>
      </c>
      <c r="B197" s="99" t="s">
        <v>68</v>
      </c>
      <c r="C197" s="100" t="s">
        <v>156</v>
      </c>
      <c r="D197" s="99" t="n">
        <v>9</v>
      </c>
      <c r="E197" s="101" t="s">
        <v>188</v>
      </c>
      <c r="F197" s="100"/>
    </row>
    <row r="198" customFormat="false" ht="15" hidden="false" customHeight="true" outlineLevel="0" collapsed="false">
      <c r="A198" s="98" t="n">
        <v>46058</v>
      </c>
      <c r="B198" s="99" t="s">
        <v>69</v>
      </c>
      <c r="C198" s="100" t="s">
        <v>159</v>
      </c>
      <c r="D198" s="99" t="n">
        <v>3</v>
      </c>
      <c r="E198" s="101" t="s">
        <v>189</v>
      </c>
      <c r="F198" s="100"/>
    </row>
    <row r="199" customFormat="false" ht="15" hidden="false" customHeight="true" outlineLevel="0" collapsed="false">
      <c r="A199" s="98" t="n">
        <v>46058</v>
      </c>
      <c r="B199" s="99" t="s">
        <v>70</v>
      </c>
      <c r="C199" s="100" t="s">
        <v>162</v>
      </c>
      <c r="D199" s="99" t="n">
        <v>13</v>
      </c>
      <c r="E199" s="101" t="s">
        <v>185</v>
      </c>
      <c r="F199" s="100"/>
    </row>
    <row r="200" customFormat="false" ht="15" hidden="false" customHeight="true" outlineLevel="0" collapsed="false">
      <c r="A200" s="98" t="n">
        <v>46058</v>
      </c>
      <c r="B200" s="99" t="s">
        <v>71</v>
      </c>
      <c r="C200" s="100" t="s">
        <v>163</v>
      </c>
      <c r="D200" s="99" t="n">
        <v>2</v>
      </c>
      <c r="E200" s="101" t="s">
        <v>186</v>
      </c>
      <c r="F200" s="100"/>
    </row>
    <row r="201" customFormat="false" ht="15" hidden="false" customHeight="true" outlineLevel="0" collapsed="false">
      <c r="A201" s="98" t="n">
        <v>46058</v>
      </c>
      <c r="B201" s="99" t="s">
        <v>72</v>
      </c>
      <c r="C201" s="100" t="s">
        <v>166</v>
      </c>
      <c r="D201" s="99" t="n">
        <v>5</v>
      </c>
      <c r="E201" s="101" t="s">
        <v>187</v>
      </c>
      <c r="F201" s="100"/>
    </row>
    <row r="202" customFormat="false" ht="15" hidden="false" customHeight="true" outlineLevel="0" collapsed="false">
      <c r="A202" s="98" t="n">
        <v>46058</v>
      </c>
      <c r="B202" s="99" t="s">
        <v>73</v>
      </c>
      <c r="C202" s="100" t="s">
        <v>169</v>
      </c>
      <c r="D202" s="99" t="n">
        <v>3</v>
      </c>
      <c r="E202" s="101" t="s">
        <v>188</v>
      </c>
      <c r="F202" s="100"/>
    </row>
    <row r="203" customFormat="false" ht="15" hidden="false" customHeight="true" outlineLevel="0" collapsed="false">
      <c r="A203" s="98" t="n">
        <v>46059</v>
      </c>
      <c r="B203" s="99" t="s">
        <v>66</v>
      </c>
      <c r="C203" s="100" t="s">
        <v>149</v>
      </c>
      <c r="D203" s="99" t="n">
        <v>5</v>
      </c>
      <c r="E203" s="101" t="s">
        <v>185</v>
      </c>
      <c r="F203" s="100"/>
    </row>
    <row r="204" customFormat="false" ht="15" hidden="false" customHeight="true" outlineLevel="0" collapsed="false">
      <c r="A204" s="98" t="n">
        <v>46059</v>
      </c>
      <c r="B204" s="99" t="s">
        <v>67</v>
      </c>
      <c r="C204" s="100" t="s">
        <v>153</v>
      </c>
      <c r="D204" s="99" t="n">
        <v>3</v>
      </c>
      <c r="E204" s="101" t="s">
        <v>186</v>
      </c>
      <c r="F204" s="100"/>
    </row>
    <row r="205" customFormat="false" ht="15" hidden="false" customHeight="true" outlineLevel="0" collapsed="false">
      <c r="A205" s="98" t="n">
        <v>46059</v>
      </c>
      <c r="B205" s="99" t="s">
        <v>68</v>
      </c>
      <c r="C205" s="100" t="s">
        <v>156</v>
      </c>
      <c r="D205" s="99" t="n">
        <v>8</v>
      </c>
      <c r="E205" s="101" t="s">
        <v>187</v>
      </c>
      <c r="F205" s="100"/>
    </row>
    <row r="206" customFormat="false" ht="15" hidden="false" customHeight="true" outlineLevel="0" collapsed="false">
      <c r="A206" s="98" t="n">
        <v>46059</v>
      </c>
      <c r="B206" s="99" t="s">
        <v>69</v>
      </c>
      <c r="C206" s="100" t="s">
        <v>159</v>
      </c>
      <c r="D206" s="99" t="n">
        <v>2</v>
      </c>
      <c r="E206" s="101" t="s">
        <v>188</v>
      </c>
      <c r="F206" s="100"/>
    </row>
    <row r="207" customFormat="false" ht="15" hidden="false" customHeight="true" outlineLevel="0" collapsed="false">
      <c r="A207" s="98" t="n">
        <v>46059</v>
      </c>
      <c r="B207" s="99" t="s">
        <v>70</v>
      </c>
      <c r="C207" s="100" t="s">
        <v>162</v>
      </c>
      <c r="D207" s="99" t="n">
        <v>12</v>
      </c>
      <c r="E207" s="101" t="s">
        <v>189</v>
      </c>
      <c r="F207" s="100"/>
    </row>
    <row r="208" customFormat="false" ht="15" hidden="false" customHeight="true" outlineLevel="0" collapsed="false">
      <c r="A208" s="98" t="n">
        <v>46059</v>
      </c>
      <c r="B208" s="99" t="s">
        <v>71</v>
      </c>
      <c r="C208" s="100" t="s">
        <v>163</v>
      </c>
      <c r="D208" s="99" t="n">
        <v>1</v>
      </c>
      <c r="E208" s="101" t="s">
        <v>185</v>
      </c>
      <c r="F208" s="100"/>
    </row>
    <row r="209" customFormat="false" ht="15" hidden="false" customHeight="true" outlineLevel="0" collapsed="false">
      <c r="A209" s="98" t="n">
        <v>46059</v>
      </c>
      <c r="B209" s="99" t="s">
        <v>72</v>
      </c>
      <c r="C209" s="100" t="s">
        <v>166</v>
      </c>
      <c r="D209" s="99" t="n">
        <v>4</v>
      </c>
      <c r="E209" s="101" t="s">
        <v>186</v>
      </c>
      <c r="F209" s="100"/>
    </row>
    <row r="210" customFormat="false" ht="15" hidden="false" customHeight="true" outlineLevel="0" collapsed="false">
      <c r="A210" s="98" t="n">
        <v>46059</v>
      </c>
      <c r="B210" s="99" t="s">
        <v>73</v>
      </c>
      <c r="C210" s="100" t="s">
        <v>169</v>
      </c>
      <c r="D210" s="99" t="n">
        <v>2</v>
      </c>
      <c r="E210" s="101" t="s">
        <v>187</v>
      </c>
      <c r="F210" s="100"/>
    </row>
    <row r="211" customFormat="false" ht="15" hidden="false" customHeight="true" outlineLevel="0" collapsed="false">
      <c r="A211" s="98" t="n">
        <v>46060</v>
      </c>
      <c r="B211" s="99" t="s">
        <v>66</v>
      </c>
      <c r="C211" s="100" t="s">
        <v>149</v>
      </c>
      <c r="D211" s="99" t="n">
        <v>4</v>
      </c>
      <c r="E211" s="101" t="s">
        <v>189</v>
      </c>
      <c r="F211" s="100"/>
    </row>
    <row r="212" customFormat="false" ht="15" hidden="false" customHeight="true" outlineLevel="0" collapsed="false">
      <c r="A212" s="98" t="n">
        <v>46060</v>
      </c>
      <c r="B212" s="99" t="s">
        <v>67</v>
      </c>
      <c r="C212" s="100" t="s">
        <v>153</v>
      </c>
      <c r="D212" s="99" t="n">
        <v>2</v>
      </c>
      <c r="E212" s="101" t="s">
        <v>185</v>
      </c>
      <c r="F212" s="100"/>
    </row>
    <row r="213" customFormat="false" ht="15" hidden="false" customHeight="true" outlineLevel="0" collapsed="false">
      <c r="A213" s="98" t="n">
        <v>46060</v>
      </c>
      <c r="B213" s="99" t="s">
        <v>68</v>
      </c>
      <c r="C213" s="100" t="s">
        <v>156</v>
      </c>
      <c r="D213" s="99" t="n">
        <v>7</v>
      </c>
      <c r="E213" s="101" t="s">
        <v>186</v>
      </c>
      <c r="F213" s="100"/>
    </row>
    <row r="214" customFormat="false" ht="15" hidden="false" customHeight="true" outlineLevel="0" collapsed="false">
      <c r="A214" s="98" t="n">
        <v>46060</v>
      </c>
      <c r="B214" s="99" t="s">
        <v>69</v>
      </c>
      <c r="C214" s="100" t="s">
        <v>159</v>
      </c>
      <c r="D214" s="99" t="n">
        <v>1</v>
      </c>
      <c r="E214" s="101" t="s">
        <v>187</v>
      </c>
      <c r="F214" s="100"/>
    </row>
    <row r="215" customFormat="false" ht="15" hidden="false" customHeight="true" outlineLevel="0" collapsed="false">
      <c r="A215" s="98" t="n">
        <v>46060</v>
      </c>
      <c r="B215" s="99" t="s">
        <v>70</v>
      </c>
      <c r="C215" s="100" t="s">
        <v>162</v>
      </c>
      <c r="D215" s="99" t="n">
        <v>11</v>
      </c>
      <c r="E215" s="101" t="s">
        <v>188</v>
      </c>
      <c r="F215" s="100"/>
    </row>
    <row r="216" customFormat="false" ht="15" hidden="false" customHeight="true" outlineLevel="0" collapsed="false">
      <c r="A216" s="98" t="n">
        <v>46060</v>
      </c>
      <c r="B216" s="99" t="s">
        <v>71</v>
      </c>
      <c r="C216" s="100" t="s">
        <v>163</v>
      </c>
      <c r="D216" s="99" t="n">
        <v>0</v>
      </c>
      <c r="E216" s="101" t="s">
        <v>189</v>
      </c>
      <c r="F216" s="100"/>
    </row>
    <row r="217" customFormat="false" ht="15" hidden="false" customHeight="true" outlineLevel="0" collapsed="false">
      <c r="A217" s="98" t="n">
        <v>46060</v>
      </c>
      <c r="B217" s="99" t="s">
        <v>72</v>
      </c>
      <c r="C217" s="100" t="s">
        <v>166</v>
      </c>
      <c r="D217" s="99" t="n">
        <v>3</v>
      </c>
      <c r="E217" s="101" t="s">
        <v>185</v>
      </c>
      <c r="F217" s="100"/>
    </row>
    <row r="218" customFormat="false" ht="15" hidden="false" customHeight="true" outlineLevel="0" collapsed="false">
      <c r="A218" s="98" t="n">
        <v>46060</v>
      </c>
      <c r="B218" s="99" t="s">
        <v>73</v>
      </c>
      <c r="C218" s="100" t="s">
        <v>169</v>
      </c>
      <c r="D218" s="99" t="n">
        <v>1</v>
      </c>
      <c r="E218" s="101" t="s">
        <v>186</v>
      </c>
      <c r="F218" s="100"/>
    </row>
    <row r="219" customFormat="false" ht="15" hidden="false" customHeight="true" outlineLevel="0" collapsed="false">
      <c r="A219" s="98" t="n">
        <v>46061</v>
      </c>
      <c r="B219" s="99" t="s">
        <v>66</v>
      </c>
      <c r="C219" s="100" t="s">
        <v>149</v>
      </c>
      <c r="D219" s="99" t="n">
        <v>6</v>
      </c>
      <c r="E219" s="101" t="s">
        <v>188</v>
      </c>
      <c r="F219" s="100"/>
    </row>
    <row r="220" customFormat="false" ht="15" hidden="false" customHeight="true" outlineLevel="0" collapsed="false">
      <c r="A220" s="98" t="n">
        <v>46061</v>
      </c>
      <c r="B220" s="99" t="s">
        <v>67</v>
      </c>
      <c r="C220" s="100" t="s">
        <v>153</v>
      </c>
      <c r="D220" s="99" t="n">
        <v>4</v>
      </c>
      <c r="E220" s="101" t="s">
        <v>189</v>
      </c>
      <c r="F220" s="100"/>
    </row>
    <row r="221" customFormat="false" ht="15" hidden="false" customHeight="true" outlineLevel="0" collapsed="false">
      <c r="A221" s="98" t="n">
        <v>46061</v>
      </c>
      <c r="B221" s="99" t="s">
        <v>68</v>
      </c>
      <c r="C221" s="100" t="s">
        <v>156</v>
      </c>
      <c r="D221" s="99" t="n">
        <v>9</v>
      </c>
      <c r="E221" s="101" t="s">
        <v>185</v>
      </c>
      <c r="F221" s="100"/>
    </row>
    <row r="222" customFormat="false" ht="15" hidden="false" customHeight="true" outlineLevel="0" collapsed="false">
      <c r="A222" s="98" t="n">
        <v>46061</v>
      </c>
      <c r="B222" s="99" t="s">
        <v>69</v>
      </c>
      <c r="C222" s="100" t="s">
        <v>159</v>
      </c>
      <c r="D222" s="99" t="n">
        <v>3</v>
      </c>
      <c r="E222" s="101" t="s">
        <v>186</v>
      </c>
      <c r="F222" s="100"/>
    </row>
    <row r="223" customFormat="false" ht="15" hidden="false" customHeight="true" outlineLevel="0" collapsed="false">
      <c r="A223" s="98" t="n">
        <v>46061</v>
      </c>
      <c r="B223" s="99" t="s">
        <v>70</v>
      </c>
      <c r="C223" s="100" t="s">
        <v>162</v>
      </c>
      <c r="D223" s="99" t="n">
        <v>13</v>
      </c>
      <c r="E223" s="101" t="s">
        <v>187</v>
      </c>
      <c r="F223" s="100"/>
    </row>
    <row r="224" customFormat="false" ht="15" hidden="false" customHeight="true" outlineLevel="0" collapsed="false">
      <c r="A224" s="98" t="n">
        <v>46061</v>
      </c>
      <c r="B224" s="99" t="s">
        <v>71</v>
      </c>
      <c r="C224" s="100" t="s">
        <v>163</v>
      </c>
      <c r="D224" s="99" t="n">
        <v>2</v>
      </c>
      <c r="E224" s="101" t="s">
        <v>188</v>
      </c>
      <c r="F224" s="100"/>
    </row>
    <row r="225" customFormat="false" ht="15" hidden="false" customHeight="true" outlineLevel="0" collapsed="false">
      <c r="A225" s="98" t="n">
        <v>46061</v>
      </c>
      <c r="B225" s="99" t="s">
        <v>72</v>
      </c>
      <c r="C225" s="100" t="s">
        <v>166</v>
      </c>
      <c r="D225" s="99" t="n">
        <v>5</v>
      </c>
      <c r="E225" s="101" t="s">
        <v>189</v>
      </c>
      <c r="F225" s="100"/>
    </row>
    <row r="226" customFormat="false" ht="15" hidden="false" customHeight="true" outlineLevel="0" collapsed="false">
      <c r="A226" s="98" t="n">
        <v>46061</v>
      </c>
      <c r="B226" s="99" t="s">
        <v>73</v>
      </c>
      <c r="C226" s="100" t="s">
        <v>169</v>
      </c>
      <c r="D226" s="99" t="n">
        <v>3</v>
      </c>
      <c r="E226" s="101" t="s">
        <v>185</v>
      </c>
      <c r="F226" s="100"/>
    </row>
    <row r="227" customFormat="false" ht="15" hidden="false" customHeight="true" outlineLevel="0" collapsed="false">
      <c r="A227" s="98" t="n">
        <v>46062</v>
      </c>
      <c r="B227" s="99" t="s">
        <v>66</v>
      </c>
      <c r="C227" s="100" t="s">
        <v>149</v>
      </c>
      <c r="D227" s="99" t="n">
        <v>5</v>
      </c>
      <c r="E227" s="101" t="s">
        <v>187</v>
      </c>
      <c r="F227" s="100"/>
    </row>
    <row r="228" customFormat="false" ht="15" hidden="false" customHeight="true" outlineLevel="0" collapsed="false">
      <c r="A228" s="98" t="n">
        <v>46062</v>
      </c>
      <c r="B228" s="99" t="s">
        <v>67</v>
      </c>
      <c r="C228" s="100" t="s">
        <v>153</v>
      </c>
      <c r="D228" s="99" t="n">
        <v>3</v>
      </c>
      <c r="E228" s="101" t="s">
        <v>188</v>
      </c>
      <c r="F228" s="100"/>
    </row>
    <row r="229" customFormat="false" ht="15" hidden="false" customHeight="true" outlineLevel="0" collapsed="false">
      <c r="A229" s="98" t="n">
        <v>46062</v>
      </c>
      <c r="B229" s="99" t="s">
        <v>68</v>
      </c>
      <c r="C229" s="100" t="s">
        <v>156</v>
      </c>
      <c r="D229" s="99" t="n">
        <v>8</v>
      </c>
      <c r="E229" s="101" t="s">
        <v>189</v>
      </c>
      <c r="F229" s="100"/>
    </row>
    <row r="230" customFormat="false" ht="15" hidden="false" customHeight="true" outlineLevel="0" collapsed="false">
      <c r="A230" s="98" t="n">
        <v>46062</v>
      </c>
      <c r="B230" s="99" t="s">
        <v>69</v>
      </c>
      <c r="C230" s="100" t="s">
        <v>159</v>
      </c>
      <c r="D230" s="99" t="n">
        <v>2</v>
      </c>
      <c r="E230" s="101" t="s">
        <v>185</v>
      </c>
      <c r="F230" s="100"/>
    </row>
    <row r="231" customFormat="false" ht="15" hidden="false" customHeight="true" outlineLevel="0" collapsed="false">
      <c r="A231" s="98" t="n">
        <v>46062</v>
      </c>
      <c r="B231" s="99" t="s">
        <v>70</v>
      </c>
      <c r="C231" s="100" t="s">
        <v>162</v>
      </c>
      <c r="D231" s="99" t="n">
        <v>12</v>
      </c>
      <c r="E231" s="101" t="s">
        <v>186</v>
      </c>
      <c r="F231" s="100"/>
    </row>
    <row r="232" customFormat="false" ht="15" hidden="false" customHeight="true" outlineLevel="0" collapsed="false">
      <c r="A232" s="98" t="n">
        <v>46062</v>
      </c>
      <c r="B232" s="99" t="s">
        <v>71</v>
      </c>
      <c r="C232" s="100" t="s">
        <v>163</v>
      </c>
      <c r="D232" s="99" t="n">
        <v>1</v>
      </c>
      <c r="E232" s="101" t="s">
        <v>187</v>
      </c>
      <c r="F232" s="100"/>
    </row>
    <row r="233" customFormat="false" ht="15" hidden="false" customHeight="true" outlineLevel="0" collapsed="false">
      <c r="A233" s="98" t="n">
        <v>46062</v>
      </c>
      <c r="B233" s="99" t="s">
        <v>72</v>
      </c>
      <c r="C233" s="100" t="s">
        <v>166</v>
      </c>
      <c r="D233" s="99" t="n">
        <v>4</v>
      </c>
      <c r="E233" s="101" t="s">
        <v>188</v>
      </c>
      <c r="F233" s="100"/>
    </row>
    <row r="234" customFormat="false" ht="15" hidden="false" customHeight="true" outlineLevel="0" collapsed="false">
      <c r="A234" s="98" t="n">
        <v>46062</v>
      </c>
      <c r="B234" s="99" t="s">
        <v>73</v>
      </c>
      <c r="C234" s="100" t="s">
        <v>169</v>
      </c>
      <c r="D234" s="99" t="n">
        <v>2</v>
      </c>
      <c r="E234" s="101" t="s">
        <v>189</v>
      </c>
      <c r="F234" s="100"/>
    </row>
    <row r="235" customFormat="false" ht="15" hidden="false" customHeight="true" outlineLevel="0" collapsed="false">
      <c r="A235" s="98" t="n">
        <v>46063</v>
      </c>
      <c r="B235" s="99" t="s">
        <v>66</v>
      </c>
      <c r="C235" s="100" t="s">
        <v>149</v>
      </c>
      <c r="D235" s="99" t="n">
        <v>4</v>
      </c>
      <c r="E235" s="101" t="s">
        <v>186</v>
      </c>
      <c r="F235" s="100"/>
    </row>
    <row r="236" customFormat="false" ht="15" hidden="false" customHeight="true" outlineLevel="0" collapsed="false">
      <c r="A236" s="98" t="n">
        <v>46063</v>
      </c>
      <c r="B236" s="99" t="s">
        <v>67</v>
      </c>
      <c r="C236" s="100" t="s">
        <v>153</v>
      </c>
      <c r="D236" s="99" t="n">
        <v>2</v>
      </c>
      <c r="E236" s="101" t="s">
        <v>187</v>
      </c>
      <c r="F236" s="100"/>
    </row>
    <row r="237" customFormat="false" ht="15" hidden="false" customHeight="true" outlineLevel="0" collapsed="false">
      <c r="A237" s="98" t="n">
        <v>46063</v>
      </c>
      <c r="B237" s="99" t="s">
        <v>68</v>
      </c>
      <c r="C237" s="100" t="s">
        <v>156</v>
      </c>
      <c r="D237" s="99" t="n">
        <v>7</v>
      </c>
      <c r="E237" s="101" t="s">
        <v>188</v>
      </c>
      <c r="F237" s="100"/>
    </row>
    <row r="238" customFormat="false" ht="15" hidden="false" customHeight="true" outlineLevel="0" collapsed="false">
      <c r="A238" s="98" t="n">
        <v>46063</v>
      </c>
      <c r="B238" s="99" t="s">
        <v>69</v>
      </c>
      <c r="C238" s="100" t="s">
        <v>159</v>
      </c>
      <c r="D238" s="99" t="n">
        <v>1</v>
      </c>
      <c r="E238" s="101" t="s">
        <v>189</v>
      </c>
      <c r="F238" s="100"/>
    </row>
    <row r="239" customFormat="false" ht="15" hidden="false" customHeight="true" outlineLevel="0" collapsed="false">
      <c r="A239" s="98" t="n">
        <v>46063</v>
      </c>
      <c r="B239" s="99" t="s">
        <v>70</v>
      </c>
      <c r="C239" s="100" t="s">
        <v>162</v>
      </c>
      <c r="D239" s="99" t="n">
        <v>11</v>
      </c>
      <c r="E239" s="101" t="s">
        <v>185</v>
      </c>
      <c r="F239" s="100"/>
    </row>
    <row r="240" customFormat="false" ht="15" hidden="false" customHeight="true" outlineLevel="0" collapsed="false">
      <c r="A240" s="98" t="n">
        <v>46063</v>
      </c>
      <c r="B240" s="99" t="s">
        <v>71</v>
      </c>
      <c r="C240" s="100" t="s">
        <v>163</v>
      </c>
      <c r="D240" s="99" t="n">
        <v>0</v>
      </c>
      <c r="E240" s="101" t="s">
        <v>186</v>
      </c>
      <c r="F240" s="100"/>
    </row>
    <row r="241" customFormat="false" ht="15" hidden="false" customHeight="true" outlineLevel="0" collapsed="false">
      <c r="A241" s="98" t="n">
        <v>46063</v>
      </c>
      <c r="B241" s="99" t="s">
        <v>72</v>
      </c>
      <c r="C241" s="100" t="s">
        <v>166</v>
      </c>
      <c r="D241" s="99" t="n">
        <v>3</v>
      </c>
      <c r="E241" s="101" t="s">
        <v>187</v>
      </c>
      <c r="F241" s="100"/>
    </row>
    <row r="242" customFormat="false" ht="15" hidden="false" customHeight="true" outlineLevel="0" collapsed="false">
      <c r="A242" s="98" t="n">
        <v>46063</v>
      </c>
      <c r="B242" s="99" t="s">
        <v>73</v>
      </c>
      <c r="C242" s="100" t="s">
        <v>169</v>
      </c>
      <c r="D242" s="99" t="n">
        <v>1</v>
      </c>
      <c r="E242" s="101" t="s">
        <v>188</v>
      </c>
      <c r="F242" s="100"/>
    </row>
    <row r="243" customFormat="false" ht="15" hidden="false" customHeight="true" outlineLevel="0" collapsed="false">
      <c r="A243" s="98" t="n">
        <v>46064</v>
      </c>
      <c r="B243" s="99" t="s">
        <v>66</v>
      </c>
      <c r="C243" s="100" t="s">
        <v>149</v>
      </c>
      <c r="D243" s="99" t="n">
        <v>6</v>
      </c>
      <c r="E243" s="101" t="s">
        <v>185</v>
      </c>
      <c r="F243" s="100"/>
    </row>
    <row r="244" customFormat="false" ht="15" hidden="false" customHeight="true" outlineLevel="0" collapsed="false">
      <c r="A244" s="98" t="n">
        <v>46064</v>
      </c>
      <c r="B244" s="99" t="s">
        <v>67</v>
      </c>
      <c r="C244" s="100" t="s">
        <v>153</v>
      </c>
      <c r="D244" s="99" t="n">
        <v>4</v>
      </c>
      <c r="E244" s="101" t="s">
        <v>186</v>
      </c>
      <c r="F244" s="100"/>
    </row>
    <row r="245" customFormat="false" ht="15" hidden="false" customHeight="true" outlineLevel="0" collapsed="false">
      <c r="A245" s="98" t="n">
        <v>46064</v>
      </c>
      <c r="B245" s="99" t="s">
        <v>68</v>
      </c>
      <c r="C245" s="100" t="s">
        <v>156</v>
      </c>
      <c r="D245" s="99" t="n">
        <v>9</v>
      </c>
      <c r="E245" s="101" t="s">
        <v>187</v>
      </c>
      <c r="F245" s="100"/>
    </row>
    <row r="246" customFormat="false" ht="15" hidden="false" customHeight="true" outlineLevel="0" collapsed="false">
      <c r="A246" s="98" t="n">
        <v>46064</v>
      </c>
      <c r="B246" s="99" t="s">
        <v>69</v>
      </c>
      <c r="C246" s="100" t="s">
        <v>159</v>
      </c>
      <c r="D246" s="99" t="n">
        <v>3</v>
      </c>
      <c r="E246" s="101" t="s">
        <v>188</v>
      </c>
      <c r="F246" s="100"/>
    </row>
    <row r="247" customFormat="false" ht="15" hidden="false" customHeight="true" outlineLevel="0" collapsed="false">
      <c r="A247" s="98" t="n">
        <v>46064</v>
      </c>
      <c r="B247" s="99" t="s">
        <v>70</v>
      </c>
      <c r="C247" s="100" t="s">
        <v>162</v>
      </c>
      <c r="D247" s="99" t="n">
        <v>13</v>
      </c>
      <c r="E247" s="101" t="s">
        <v>189</v>
      </c>
      <c r="F247" s="100"/>
    </row>
    <row r="248" customFormat="false" ht="15" hidden="false" customHeight="true" outlineLevel="0" collapsed="false">
      <c r="A248" s="98" t="n">
        <v>46064</v>
      </c>
      <c r="B248" s="99" t="s">
        <v>71</v>
      </c>
      <c r="C248" s="100" t="s">
        <v>163</v>
      </c>
      <c r="D248" s="99" t="n">
        <v>2</v>
      </c>
      <c r="E248" s="101" t="s">
        <v>185</v>
      </c>
      <c r="F248" s="100"/>
    </row>
    <row r="249" customFormat="false" ht="15" hidden="false" customHeight="true" outlineLevel="0" collapsed="false">
      <c r="A249" s="98" t="n">
        <v>46064</v>
      </c>
      <c r="B249" s="99" t="s">
        <v>72</v>
      </c>
      <c r="C249" s="100" t="s">
        <v>166</v>
      </c>
      <c r="D249" s="99" t="n">
        <v>5</v>
      </c>
      <c r="E249" s="101" t="s">
        <v>186</v>
      </c>
      <c r="F249" s="100"/>
    </row>
    <row r="250" customFormat="false" ht="15" hidden="false" customHeight="true" outlineLevel="0" collapsed="false">
      <c r="A250" s="98" t="n">
        <v>46064</v>
      </c>
      <c r="B250" s="99" t="s">
        <v>73</v>
      </c>
      <c r="C250" s="100" t="s">
        <v>169</v>
      </c>
      <c r="D250" s="99" t="n">
        <v>3</v>
      </c>
      <c r="E250" s="101" t="s">
        <v>187</v>
      </c>
      <c r="F250" s="100"/>
    </row>
    <row r="251" customFormat="false" ht="15" hidden="false" customHeight="true" outlineLevel="0" collapsed="false">
      <c r="A251" s="98" t="n">
        <v>46065</v>
      </c>
      <c r="B251" s="99" t="s">
        <v>66</v>
      </c>
      <c r="C251" s="100" t="s">
        <v>149</v>
      </c>
      <c r="D251" s="99" t="n">
        <v>5</v>
      </c>
      <c r="E251" s="101" t="s">
        <v>189</v>
      </c>
      <c r="F251" s="100"/>
    </row>
    <row r="252" customFormat="false" ht="15" hidden="false" customHeight="true" outlineLevel="0" collapsed="false">
      <c r="A252" s="98" t="n">
        <v>46065</v>
      </c>
      <c r="B252" s="99" t="s">
        <v>67</v>
      </c>
      <c r="C252" s="100" t="s">
        <v>153</v>
      </c>
      <c r="D252" s="99" t="n">
        <v>3</v>
      </c>
      <c r="E252" s="101" t="s">
        <v>185</v>
      </c>
      <c r="F252" s="100"/>
    </row>
    <row r="253" customFormat="false" ht="15" hidden="false" customHeight="true" outlineLevel="0" collapsed="false">
      <c r="A253" s="98" t="n">
        <v>46065</v>
      </c>
      <c r="B253" s="99" t="s">
        <v>68</v>
      </c>
      <c r="C253" s="100" t="s">
        <v>156</v>
      </c>
      <c r="D253" s="99" t="n">
        <v>8</v>
      </c>
      <c r="E253" s="101" t="s">
        <v>186</v>
      </c>
      <c r="F253" s="100"/>
    </row>
    <row r="254" customFormat="false" ht="15" hidden="false" customHeight="true" outlineLevel="0" collapsed="false">
      <c r="A254" s="98" t="n">
        <v>46065</v>
      </c>
      <c r="B254" s="99" t="s">
        <v>69</v>
      </c>
      <c r="C254" s="100" t="s">
        <v>159</v>
      </c>
      <c r="D254" s="99" t="n">
        <v>2</v>
      </c>
      <c r="E254" s="101" t="s">
        <v>187</v>
      </c>
      <c r="F254" s="100"/>
    </row>
    <row r="255" customFormat="false" ht="15" hidden="false" customHeight="true" outlineLevel="0" collapsed="false">
      <c r="A255" s="98" t="n">
        <v>46065</v>
      </c>
      <c r="B255" s="99" t="s">
        <v>70</v>
      </c>
      <c r="C255" s="100" t="s">
        <v>162</v>
      </c>
      <c r="D255" s="99" t="n">
        <v>12</v>
      </c>
      <c r="E255" s="101" t="s">
        <v>188</v>
      </c>
      <c r="F255" s="100"/>
    </row>
    <row r="256" customFormat="false" ht="15" hidden="false" customHeight="true" outlineLevel="0" collapsed="false">
      <c r="A256" s="98" t="n">
        <v>46065</v>
      </c>
      <c r="B256" s="99" t="s">
        <v>71</v>
      </c>
      <c r="C256" s="100" t="s">
        <v>163</v>
      </c>
      <c r="D256" s="99" t="n">
        <v>1</v>
      </c>
      <c r="E256" s="101" t="s">
        <v>189</v>
      </c>
      <c r="F256" s="100"/>
    </row>
    <row r="257" customFormat="false" ht="15" hidden="false" customHeight="true" outlineLevel="0" collapsed="false">
      <c r="A257" s="98" t="n">
        <v>46065</v>
      </c>
      <c r="B257" s="99" t="s">
        <v>72</v>
      </c>
      <c r="C257" s="100" t="s">
        <v>166</v>
      </c>
      <c r="D257" s="99" t="n">
        <v>4</v>
      </c>
      <c r="E257" s="101" t="s">
        <v>185</v>
      </c>
      <c r="F257" s="100"/>
    </row>
    <row r="258" customFormat="false" ht="15" hidden="false" customHeight="true" outlineLevel="0" collapsed="false">
      <c r="A258" s="98" t="n">
        <v>46065</v>
      </c>
      <c r="B258" s="99" t="s">
        <v>73</v>
      </c>
      <c r="C258" s="100" t="s">
        <v>169</v>
      </c>
      <c r="D258" s="99" t="n">
        <v>2</v>
      </c>
      <c r="E258" s="101" t="s">
        <v>186</v>
      </c>
      <c r="F258" s="100"/>
    </row>
    <row r="259" customFormat="false" ht="15" hidden="false" customHeight="true" outlineLevel="0" collapsed="false">
      <c r="A259" s="98" t="n">
        <v>46066</v>
      </c>
      <c r="B259" s="99" t="s">
        <v>66</v>
      </c>
      <c r="C259" s="100" t="s">
        <v>149</v>
      </c>
      <c r="D259" s="99" t="n">
        <v>4</v>
      </c>
      <c r="E259" s="101" t="s">
        <v>188</v>
      </c>
      <c r="F259" s="100"/>
    </row>
    <row r="260" customFormat="false" ht="15" hidden="false" customHeight="true" outlineLevel="0" collapsed="false">
      <c r="A260" s="98" t="n">
        <v>46066</v>
      </c>
      <c r="B260" s="99" t="s">
        <v>67</v>
      </c>
      <c r="C260" s="100" t="s">
        <v>153</v>
      </c>
      <c r="D260" s="99" t="n">
        <v>2</v>
      </c>
      <c r="E260" s="101" t="s">
        <v>189</v>
      </c>
      <c r="F260" s="100"/>
    </row>
    <row r="261" customFormat="false" ht="15" hidden="false" customHeight="true" outlineLevel="0" collapsed="false">
      <c r="A261" s="98" t="n">
        <v>46066</v>
      </c>
      <c r="B261" s="99" t="s">
        <v>68</v>
      </c>
      <c r="C261" s="100" t="s">
        <v>156</v>
      </c>
      <c r="D261" s="99" t="n">
        <v>7</v>
      </c>
      <c r="E261" s="101" t="s">
        <v>185</v>
      </c>
      <c r="F261" s="100"/>
    </row>
    <row r="262" customFormat="false" ht="15" hidden="false" customHeight="true" outlineLevel="0" collapsed="false">
      <c r="A262" s="98" t="n">
        <v>46066</v>
      </c>
      <c r="B262" s="99" t="s">
        <v>69</v>
      </c>
      <c r="C262" s="100" t="s">
        <v>159</v>
      </c>
      <c r="D262" s="99" t="n">
        <v>1</v>
      </c>
      <c r="E262" s="101" t="s">
        <v>186</v>
      </c>
      <c r="F262" s="100"/>
    </row>
    <row r="263" customFormat="false" ht="15" hidden="false" customHeight="true" outlineLevel="0" collapsed="false">
      <c r="A263" s="98" t="n">
        <v>46066</v>
      </c>
      <c r="B263" s="99" t="s">
        <v>70</v>
      </c>
      <c r="C263" s="100" t="s">
        <v>162</v>
      </c>
      <c r="D263" s="99" t="n">
        <v>11</v>
      </c>
      <c r="E263" s="101" t="s">
        <v>187</v>
      </c>
      <c r="F263" s="100"/>
    </row>
    <row r="264" customFormat="false" ht="15" hidden="false" customHeight="true" outlineLevel="0" collapsed="false">
      <c r="A264" s="98" t="n">
        <v>46066</v>
      </c>
      <c r="B264" s="99" t="s">
        <v>71</v>
      </c>
      <c r="C264" s="100" t="s">
        <v>163</v>
      </c>
      <c r="D264" s="99" t="n">
        <v>0</v>
      </c>
      <c r="E264" s="101" t="s">
        <v>188</v>
      </c>
      <c r="F264" s="100"/>
    </row>
    <row r="265" customFormat="false" ht="15" hidden="false" customHeight="true" outlineLevel="0" collapsed="false">
      <c r="A265" s="98" t="n">
        <v>46066</v>
      </c>
      <c r="B265" s="99" t="s">
        <v>72</v>
      </c>
      <c r="C265" s="100" t="s">
        <v>166</v>
      </c>
      <c r="D265" s="99" t="n">
        <v>3</v>
      </c>
      <c r="E265" s="101" t="s">
        <v>189</v>
      </c>
      <c r="F265" s="100"/>
    </row>
    <row r="266" customFormat="false" ht="15" hidden="false" customHeight="true" outlineLevel="0" collapsed="false">
      <c r="A266" s="98" t="n">
        <v>46066</v>
      </c>
      <c r="B266" s="99" t="s">
        <v>73</v>
      </c>
      <c r="C266" s="100" t="s">
        <v>169</v>
      </c>
      <c r="D266" s="99" t="n">
        <v>1</v>
      </c>
      <c r="E266" s="101" t="s">
        <v>185</v>
      </c>
      <c r="F266" s="100"/>
    </row>
    <row r="267" customFormat="false" ht="15" hidden="false" customHeight="true" outlineLevel="0" collapsed="false">
      <c r="A267" s="98" t="n">
        <v>46067</v>
      </c>
      <c r="B267" s="99" t="s">
        <v>66</v>
      </c>
      <c r="C267" s="100" t="s">
        <v>149</v>
      </c>
      <c r="D267" s="99" t="n">
        <v>6</v>
      </c>
      <c r="E267" s="101" t="s">
        <v>187</v>
      </c>
      <c r="F267" s="100"/>
    </row>
    <row r="268" customFormat="false" ht="15" hidden="false" customHeight="true" outlineLevel="0" collapsed="false">
      <c r="A268" s="98" t="n">
        <v>46067</v>
      </c>
      <c r="B268" s="99" t="s">
        <v>67</v>
      </c>
      <c r="C268" s="100" t="s">
        <v>153</v>
      </c>
      <c r="D268" s="99" t="n">
        <v>4</v>
      </c>
      <c r="E268" s="101" t="s">
        <v>188</v>
      </c>
      <c r="F268" s="100"/>
    </row>
    <row r="269" customFormat="false" ht="15" hidden="false" customHeight="true" outlineLevel="0" collapsed="false">
      <c r="A269" s="98" t="n">
        <v>46067</v>
      </c>
      <c r="B269" s="99" t="s">
        <v>68</v>
      </c>
      <c r="C269" s="100" t="s">
        <v>156</v>
      </c>
      <c r="D269" s="99" t="n">
        <v>9</v>
      </c>
      <c r="E269" s="101" t="s">
        <v>189</v>
      </c>
      <c r="F269" s="100"/>
    </row>
    <row r="270" customFormat="false" ht="15" hidden="false" customHeight="true" outlineLevel="0" collapsed="false">
      <c r="A270" s="98" t="n">
        <v>46067</v>
      </c>
      <c r="B270" s="99" t="s">
        <v>69</v>
      </c>
      <c r="C270" s="100" t="s">
        <v>159</v>
      </c>
      <c r="D270" s="99" t="n">
        <v>3</v>
      </c>
      <c r="E270" s="101" t="s">
        <v>185</v>
      </c>
      <c r="F270" s="100"/>
    </row>
    <row r="271" customFormat="false" ht="15" hidden="false" customHeight="true" outlineLevel="0" collapsed="false">
      <c r="A271" s="98" t="n">
        <v>46067</v>
      </c>
      <c r="B271" s="99" t="s">
        <v>70</v>
      </c>
      <c r="C271" s="100" t="s">
        <v>162</v>
      </c>
      <c r="D271" s="99" t="n">
        <v>13</v>
      </c>
      <c r="E271" s="101" t="s">
        <v>186</v>
      </c>
      <c r="F271" s="100"/>
    </row>
    <row r="272" customFormat="false" ht="15" hidden="false" customHeight="true" outlineLevel="0" collapsed="false">
      <c r="A272" s="98" t="n">
        <v>46067</v>
      </c>
      <c r="B272" s="99" t="s">
        <v>71</v>
      </c>
      <c r="C272" s="100" t="s">
        <v>163</v>
      </c>
      <c r="D272" s="99" t="n">
        <v>2</v>
      </c>
      <c r="E272" s="101" t="s">
        <v>187</v>
      </c>
      <c r="F272" s="100"/>
    </row>
    <row r="273" customFormat="false" ht="15" hidden="false" customHeight="true" outlineLevel="0" collapsed="false">
      <c r="A273" s="98" t="n">
        <v>46067</v>
      </c>
      <c r="B273" s="99" t="s">
        <v>72</v>
      </c>
      <c r="C273" s="100" t="s">
        <v>166</v>
      </c>
      <c r="D273" s="99" t="n">
        <v>5</v>
      </c>
      <c r="E273" s="101" t="s">
        <v>188</v>
      </c>
      <c r="F273" s="100"/>
    </row>
    <row r="274" customFormat="false" ht="15" hidden="false" customHeight="true" outlineLevel="0" collapsed="false">
      <c r="A274" s="98" t="n">
        <v>46067</v>
      </c>
      <c r="B274" s="99" t="s">
        <v>73</v>
      </c>
      <c r="C274" s="100" t="s">
        <v>169</v>
      </c>
      <c r="D274" s="99" t="n">
        <v>3</v>
      </c>
      <c r="E274" s="101" t="s">
        <v>189</v>
      </c>
      <c r="F274" s="100"/>
    </row>
    <row r="275" customFormat="false" ht="15" hidden="false" customHeight="true" outlineLevel="0" collapsed="false">
      <c r="A275" s="98" t="n">
        <v>46068</v>
      </c>
      <c r="B275" s="99" t="s">
        <v>66</v>
      </c>
      <c r="C275" s="100" t="s">
        <v>149</v>
      </c>
      <c r="D275" s="99" t="n">
        <v>5</v>
      </c>
      <c r="E275" s="101" t="s">
        <v>186</v>
      </c>
      <c r="F275" s="100"/>
    </row>
    <row r="276" customFormat="false" ht="15" hidden="false" customHeight="true" outlineLevel="0" collapsed="false">
      <c r="A276" s="98" t="n">
        <v>46068</v>
      </c>
      <c r="B276" s="99" t="s">
        <v>67</v>
      </c>
      <c r="C276" s="100" t="s">
        <v>153</v>
      </c>
      <c r="D276" s="99" t="n">
        <v>3</v>
      </c>
      <c r="E276" s="101" t="s">
        <v>187</v>
      </c>
      <c r="F276" s="100"/>
    </row>
    <row r="277" customFormat="false" ht="15" hidden="false" customHeight="true" outlineLevel="0" collapsed="false">
      <c r="A277" s="98" t="n">
        <v>46068</v>
      </c>
      <c r="B277" s="99" t="s">
        <v>68</v>
      </c>
      <c r="C277" s="100" t="s">
        <v>156</v>
      </c>
      <c r="D277" s="99" t="n">
        <v>8</v>
      </c>
      <c r="E277" s="101" t="s">
        <v>188</v>
      </c>
      <c r="F277" s="100"/>
    </row>
    <row r="278" customFormat="false" ht="15" hidden="false" customHeight="true" outlineLevel="0" collapsed="false">
      <c r="A278" s="98" t="n">
        <v>46068</v>
      </c>
      <c r="B278" s="99" t="s">
        <v>69</v>
      </c>
      <c r="C278" s="100" t="s">
        <v>159</v>
      </c>
      <c r="D278" s="99" t="n">
        <v>2</v>
      </c>
      <c r="E278" s="101" t="s">
        <v>189</v>
      </c>
      <c r="F278" s="100"/>
    </row>
    <row r="279" customFormat="false" ht="15" hidden="false" customHeight="true" outlineLevel="0" collapsed="false">
      <c r="A279" s="98" t="n">
        <v>46068</v>
      </c>
      <c r="B279" s="99" t="s">
        <v>70</v>
      </c>
      <c r="C279" s="100" t="s">
        <v>162</v>
      </c>
      <c r="D279" s="99" t="n">
        <v>12</v>
      </c>
      <c r="E279" s="101" t="s">
        <v>185</v>
      </c>
      <c r="F279" s="100"/>
    </row>
    <row r="280" customFormat="false" ht="15" hidden="false" customHeight="true" outlineLevel="0" collapsed="false">
      <c r="A280" s="98" t="n">
        <v>46068</v>
      </c>
      <c r="B280" s="99" t="s">
        <v>71</v>
      </c>
      <c r="C280" s="100" t="s">
        <v>163</v>
      </c>
      <c r="D280" s="99" t="n">
        <v>1</v>
      </c>
      <c r="E280" s="101" t="s">
        <v>186</v>
      </c>
      <c r="F280" s="100"/>
    </row>
    <row r="281" customFormat="false" ht="15" hidden="false" customHeight="true" outlineLevel="0" collapsed="false">
      <c r="A281" s="98" t="n">
        <v>46068</v>
      </c>
      <c r="B281" s="99" t="s">
        <v>72</v>
      </c>
      <c r="C281" s="100" t="s">
        <v>166</v>
      </c>
      <c r="D281" s="99" t="n">
        <v>4</v>
      </c>
      <c r="E281" s="101" t="s">
        <v>187</v>
      </c>
      <c r="F281" s="100"/>
    </row>
    <row r="282" customFormat="false" ht="15" hidden="false" customHeight="true" outlineLevel="0" collapsed="false">
      <c r="A282" s="98" t="n">
        <v>46068</v>
      </c>
      <c r="B282" s="99" t="s">
        <v>73</v>
      </c>
      <c r="C282" s="100" t="s">
        <v>169</v>
      </c>
      <c r="D282" s="99" t="n">
        <v>2</v>
      </c>
      <c r="E282" s="101" t="s">
        <v>188</v>
      </c>
      <c r="F282" s="100"/>
    </row>
    <row r="283" customFormat="false" ht="15" hidden="false" customHeight="true" outlineLevel="0" collapsed="false">
      <c r="A283" s="98" t="n">
        <v>46069</v>
      </c>
      <c r="B283" s="99" t="s">
        <v>66</v>
      </c>
      <c r="C283" s="100" t="s">
        <v>149</v>
      </c>
      <c r="D283" s="99" t="n">
        <v>4</v>
      </c>
      <c r="E283" s="101" t="s">
        <v>185</v>
      </c>
      <c r="F283" s="100"/>
    </row>
    <row r="284" customFormat="false" ht="15" hidden="false" customHeight="true" outlineLevel="0" collapsed="false">
      <c r="A284" s="98" t="n">
        <v>46069</v>
      </c>
      <c r="B284" s="99" t="s">
        <v>67</v>
      </c>
      <c r="C284" s="100" t="s">
        <v>153</v>
      </c>
      <c r="D284" s="99" t="n">
        <v>2</v>
      </c>
      <c r="E284" s="101" t="s">
        <v>186</v>
      </c>
      <c r="F284" s="100"/>
    </row>
    <row r="285" customFormat="false" ht="15" hidden="false" customHeight="true" outlineLevel="0" collapsed="false">
      <c r="A285" s="98" t="n">
        <v>46069</v>
      </c>
      <c r="B285" s="99" t="s">
        <v>68</v>
      </c>
      <c r="C285" s="100" t="s">
        <v>156</v>
      </c>
      <c r="D285" s="99" t="n">
        <v>7</v>
      </c>
      <c r="E285" s="101" t="s">
        <v>187</v>
      </c>
      <c r="F285" s="100"/>
    </row>
    <row r="286" customFormat="false" ht="15" hidden="false" customHeight="true" outlineLevel="0" collapsed="false">
      <c r="A286" s="98" t="n">
        <v>46069</v>
      </c>
      <c r="B286" s="99" t="s">
        <v>69</v>
      </c>
      <c r="C286" s="100" t="s">
        <v>159</v>
      </c>
      <c r="D286" s="99" t="n">
        <v>1</v>
      </c>
      <c r="E286" s="101" t="s">
        <v>188</v>
      </c>
      <c r="F286" s="100"/>
    </row>
    <row r="287" customFormat="false" ht="15" hidden="false" customHeight="true" outlineLevel="0" collapsed="false">
      <c r="A287" s="98" t="n">
        <v>46069</v>
      </c>
      <c r="B287" s="99" t="s">
        <v>70</v>
      </c>
      <c r="C287" s="100" t="s">
        <v>162</v>
      </c>
      <c r="D287" s="99" t="n">
        <v>11</v>
      </c>
      <c r="E287" s="101" t="s">
        <v>189</v>
      </c>
      <c r="F287" s="100"/>
    </row>
    <row r="288" customFormat="false" ht="15" hidden="false" customHeight="true" outlineLevel="0" collapsed="false">
      <c r="A288" s="98" t="n">
        <v>46069</v>
      </c>
      <c r="B288" s="99" t="s">
        <v>71</v>
      </c>
      <c r="C288" s="100" t="s">
        <v>163</v>
      </c>
      <c r="D288" s="99" t="n">
        <v>0</v>
      </c>
      <c r="E288" s="101" t="s">
        <v>185</v>
      </c>
      <c r="F288" s="100"/>
    </row>
    <row r="289" customFormat="false" ht="15" hidden="false" customHeight="true" outlineLevel="0" collapsed="false">
      <c r="A289" s="98" t="n">
        <v>46069</v>
      </c>
      <c r="B289" s="99" t="s">
        <v>72</v>
      </c>
      <c r="C289" s="100" t="s">
        <v>166</v>
      </c>
      <c r="D289" s="99" t="n">
        <v>3</v>
      </c>
      <c r="E289" s="101" t="s">
        <v>186</v>
      </c>
      <c r="F289" s="100"/>
    </row>
    <row r="290" customFormat="false" ht="15" hidden="false" customHeight="true" outlineLevel="0" collapsed="false">
      <c r="A290" s="98" t="n">
        <v>46069</v>
      </c>
      <c r="B290" s="99" t="s">
        <v>73</v>
      </c>
      <c r="C290" s="100" t="s">
        <v>169</v>
      </c>
      <c r="D290" s="99" t="n">
        <v>1</v>
      </c>
      <c r="E290" s="101" t="s">
        <v>187</v>
      </c>
      <c r="F290" s="100"/>
    </row>
    <row r="291" customFormat="false" ht="15" hidden="false" customHeight="true" outlineLevel="0" collapsed="false">
      <c r="A291" s="98" t="n">
        <v>46070</v>
      </c>
      <c r="B291" s="99" t="s">
        <v>66</v>
      </c>
      <c r="C291" s="100" t="s">
        <v>149</v>
      </c>
      <c r="D291" s="99" t="n">
        <v>6</v>
      </c>
      <c r="E291" s="101" t="s">
        <v>189</v>
      </c>
      <c r="F291" s="100"/>
    </row>
    <row r="292" customFormat="false" ht="15" hidden="false" customHeight="true" outlineLevel="0" collapsed="false">
      <c r="A292" s="98" t="n">
        <v>46070</v>
      </c>
      <c r="B292" s="99" t="s">
        <v>67</v>
      </c>
      <c r="C292" s="100" t="s">
        <v>153</v>
      </c>
      <c r="D292" s="99" t="n">
        <v>4</v>
      </c>
      <c r="E292" s="101" t="s">
        <v>185</v>
      </c>
      <c r="F292" s="100"/>
    </row>
    <row r="293" customFormat="false" ht="15" hidden="false" customHeight="true" outlineLevel="0" collapsed="false">
      <c r="A293" s="98" t="n">
        <v>46070</v>
      </c>
      <c r="B293" s="99" t="s">
        <v>68</v>
      </c>
      <c r="C293" s="100" t="s">
        <v>156</v>
      </c>
      <c r="D293" s="99" t="n">
        <v>9</v>
      </c>
      <c r="E293" s="101" t="s">
        <v>186</v>
      </c>
      <c r="F293" s="100"/>
    </row>
    <row r="294" customFormat="false" ht="15" hidden="false" customHeight="true" outlineLevel="0" collapsed="false">
      <c r="A294" s="98" t="n">
        <v>46070</v>
      </c>
      <c r="B294" s="99" t="s">
        <v>69</v>
      </c>
      <c r="C294" s="100" t="s">
        <v>159</v>
      </c>
      <c r="D294" s="99" t="n">
        <v>3</v>
      </c>
      <c r="E294" s="101" t="s">
        <v>187</v>
      </c>
      <c r="F294" s="100"/>
    </row>
    <row r="295" customFormat="false" ht="15" hidden="false" customHeight="true" outlineLevel="0" collapsed="false">
      <c r="A295" s="98" t="n">
        <v>46070</v>
      </c>
      <c r="B295" s="99" t="s">
        <v>70</v>
      </c>
      <c r="C295" s="100" t="s">
        <v>162</v>
      </c>
      <c r="D295" s="99" t="n">
        <v>13</v>
      </c>
      <c r="E295" s="101" t="s">
        <v>188</v>
      </c>
      <c r="F295" s="100"/>
    </row>
    <row r="296" customFormat="false" ht="15" hidden="false" customHeight="true" outlineLevel="0" collapsed="false">
      <c r="A296" s="98" t="n">
        <v>46070</v>
      </c>
      <c r="B296" s="99" t="s">
        <v>71</v>
      </c>
      <c r="C296" s="100" t="s">
        <v>163</v>
      </c>
      <c r="D296" s="99" t="n">
        <v>2</v>
      </c>
      <c r="E296" s="101" t="s">
        <v>189</v>
      </c>
      <c r="F296" s="100"/>
    </row>
    <row r="297" customFormat="false" ht="15" hidden="false" customHeight="true" outlineLevel="0" collapsed="false">
      <c r="A297" s="98" t="n">
        <v>46070</v>
      </c>
      <c r="B297" s="99" t="s">
        <v>72</v>
      </c>
      <c r="C297" s="100" t="s">
        <v>166</v>
      </c>
      <c r="D297" s="99" t="n">
        <v>5</v>
      </c>
      <c r="E297" s="101" t="s">
        <v>185</v>
      </c>
      <c r="F297" s="100"/>
    </row>
    <row r="298" customFormat="false" ht="15" hidden="false" customHeight="true" outlineLevel="0" collapsed="false">
      <c r="A298" s="98" t="n">
        <v>46070</v>
      </c>
      <c r="B298" s="99" t="s">
        <v>73</v>
      </c>
      <c r="C298" s="100" t="s">
        <v>169</v>
      </c>
      <c r="D298" s="99" t="n">
        <v>3</v>
      </c>
      <c r="E298" s="101" t="s">
        <v>186</v>
      </c>
      <c r="F298" s="100"/>
    </row>
    <row r="299" customFormat="false" ht="15" hidden="false" customHeight="true" outlineLevel="0" collapsed="false">
      <c r="A299" s="98" t="n">
        <v>46071</v>
      </c>
      <c r="B299" s="99" t="s">
        <v>66</v>
      </c>
      <c r="C299" s="100" t="s">
        <v>149</v>
      </c>
      <c r="D299" s="99" t="n">
        <v>5</v>
      </c>
      <c r="E299" s="101" t="s">
        <v>188</v>
      </c>
      <c r="F299" s="100"/>
    </row>
    <row r="300" customFormat="false" ht="15" hidden="false" customHeight="true" outlineLevel="0" collapsed="false">
      <c r="A300" s="98" t="n">
        <v>46071</v>
      </c>
      <c r="B300" s="99" t="s">
        <v>67</v>
      </c>
      <c r="C300" s="100" t="s">
        <v>153</v>
      </c>
      <c r="D300" s="99" t="n">
        <v>3</v>
      </c>
      <c r="E300" s="101" t="s">
        <v>189</v>
      </c>
      <c r="F300" s="100"/>
    </row>
    <row r="301" customFormat="false" ht="15" hidden="false" customHeight="true" outlineLevel="0" collapsed="false">
      <c r="A301" s="98" t="n">
        <v>46071</v>
      </c>
      <c r="B301" s="99" t="s">
        <v>68</v>
      </c>
      <c r="C301" s="100" t="s">
        <v>156</v>
      </c>
      <c r="D301" s="99" t="n">
        <v>8</v>
      </c>
      <c r="E301" s="101" t="s">
        <v>185</v>
      </c>
      <c r="F301" s="100"/>
    </row>
    <row r="302" customFormat="false" ht="15" hidden="false" customHeight="true" outlineLevel="0" collapsed="false">
      <c r="A302" s="98" t="n">
        <v>46071</v>
      </c>
      <c r="B302" s="99" t="s">
        <v>69</v>
      </c>
      <c r="C302" s="100" t="s">
        <v>159</v>
      </c>
      <c r="D302" s="99" t="n">
        <v>2</v>
      </c>
      <c r="E302" s="101" t="s">
        <v>186</v>
      </c>
      <c r="F302" s="100"/>
    </row>
    <row r="303" customFormat="false" ht="15" hidden="false" customHeight="true" outlineLevel="0" collapsed="false">
      <c r="A303" s="98" t="n">
        <v>46071</v>
      </c>
      <c r="B303" s="99" t="s">
        <v>70</v>
      </c>
      <c r="C303" s="100" t="s">
        <v>162</v>
      </c>
      <c r="D303" s="99" t="n">
        <v>12</v>
      </c>
      <c r="E303" s="101" t="s">
        <v>187</v>
      </c>
      <c r="F303" s="100"/>
    </row>
    <row r="304" customFormat="false" ht="15" hidden="false" customHeight="true" outlineLevel="0" collapsed="false">
      <c r="A304" s="98" t="n">
        <v>46071</v>
      </c>
      <c r="B304" s="99" t="s">
        <v>71</v>
      </c>
      <c r="C304" s="100" t="s">
        <v>163</v>
      </c>
      <c r="D304" s="99" t="n">
        <v>1</v>
      </c>
      <c r="E304" s="101" t="s">
        <v>188</v>
      </c>
      <c r="F304" s="100"/>
    </row>
    <row r="305" customFormat="false" ht="15" hidden="false" customHeight="true" outlineLevel="0" collapsed="false">
      <c r="A305" s="98" t="n">
        <v>46071</v>
      </c>
      <c r="B305" s="99" t="s">
        <v>72</v>
      </c>
      <c r="C305" s="100" t="s">
        <v>166</v>
      </c>
      <c r="D305" s="99" t="n">
        <v>4</v>
      </c>
      <c r="E305" s="101" t="s">
        <v>189</v>
      </c>
      <c r="F305" s="100"/>
    </row>
    <row r="306" customFormat="false" ht="15" hidden="false" customHeight="true" outlineLevel="0" collapsed="false">
      <c r="A306" s="98" t="n">
        <v>46071</v>
      </c>
      <c r="B306" s="99" t="s">
        <v>73</v>
      </c>
      <c r="C306" s="100" t="s">
        <v>169</v>
      </c>
      <c r="D306" s="99" t="n">
        <v>2</v>
      </c>
      <c r="E306" s="101" t="s">
        <v>185</v>
      </c>
      <c r="F306" s="100"/>
    </row>
    <row r="307" customFormat="false" ht="15" hidden="false" customHeight="true" outlineLevel="0" collapsed="false">
      <c r="A307" s="98" t="n">
        <v>46072</v>
      </c>
      <c r="B307" s="99" t="s">
        <v>66</v>
      </c>
      <c r="C307" s="100" t="s">
        <v>149</v>
      </c>
      <c r="D307" s="99" t="n">
        <v>4</v>
      </c>
      <c r="E307" s="101" t="s">
        <v>187</v>
      </c>
      <c r="F307" s="100"/>
    </row>
    <row r="308" customFormat="false" ht="15" hidden="false" customHeight="true" outlineLevel="0" collapsed="false">
      <c r="A308" s="98" t="n">
        <v>46072</v>
      </c>
      <c r="B308" s="99" t="s">
        <v>67</v>
      </c>
      <c r="C308" s="100" t="s">
        <v>153</v>
      </c>
      <c r="D308" s="99" t="n">
        <v>2</v>
      </c>
      <c r="E308" s="101" t="s">
        <v>188</v>
      </c>
      <c r="F308" s="100"/>
    </row>
    <row r="309" customFormat="false" ht="15" hidden="false" customHeight="true" outlineLevel="0" collapsed="false">
      <c r="A309" s="98" t="n">
        <v>46072</v>
      </c>
      <c r="B309" s="99" t="s">
        <v>68</v>
      </c>
      <c r="C309" s="100" t="s">
        <v>156</v>
      </c>
      <c r="D309" s="99" t="n">
        <v>7</v>
      </c>
      <c r="E309" s="101" t="s">
        <v>189</v>
      </c>
      <c r="F309" s="100"/>
    </row>
    <row r="310" customFormat="false" ht="15" hidden="false" customHeight="true" outlineLevel="0" collapsed="false">
      <c r="A310" s="98" t="n">
        <v>46072</v>
      </c>
      <c r="B310" s="99" t="s">
        <v>69</v>
      </c>
      <c r="C310" s="100" t="s">
        <v>159</v>
      </c>
      <c r="D310" s="99" t="n">
        <v>1</v>
      </c>
      <c r="E310" s="101" t="s">
        <v>185</v>
      </c>
      <c r="F310" s="100"/>
    </row>
    <row r="311" customFormat="false" ht="15" hidden="false" customHeight="true" outlineLevel="0" collapsed="false">
      <c r="A311" s="98" t="n">
        <v>46072</v>
      </c>
      <c r="B311" s="99" t="s">
        <v>70</v>
      </c>
      <c r="C311" s="100" t="s">
        <v>162</v>
      </c>
      <c r="D311" s="99" t="n">
        <v>11</v>
      </c>
      <c r="E311" s="101" t="s">
        <v>186</v>
      </c>
      <c r="F311" s="100"/>
    </row>
    <row r="312" customFormat="false" ht="15" hidden="false" customHeight="true" outlineLevel="0" collapsed="false">
      <c r="A312" s="98" t="n">
        <v>46072</v>
      </c>
      <c r="B312" s="99" t="s">
        <v>71</v>
      </c>
      <c r="C312" s="100" t="s">
        <v>163</v>
      </c>
      <c r="D312" s="99" t="n">
        <v>0</v>
      </c>
      <c r="E312" s="101" t="s">
        <v>187</v>
      </c>
      <c r="F312" s="100"/>
    </row>
    <row r="313" customFormat="false" ht="15" hidden="false" customHeight="true" outlineLevel="0" collapsed="false">
      <c r="A313" s="98" t="n">
        <v>46072</v>
      </c>
      <c r="B313" s="99" t="s">
        <v>72</v>
      </c>
      <c r="C313" s="100" t="s">
        <v>166</v>
      </c>
      <c r="D313" s="99" t="n">
        <v>3</v>
      </c>
      <c r="E313" s="101" t="s">
        <v>188</v>
      </c>
      <c r="F313" s="100"/>
    </row>
    <row r="314" customFormat="false" ht="15" hidden="false" customHeight="true" outlineLevel="0" collapsed="false">
      <c r="A314" s="98" t="n">
        <v>46072</v>
      </c>
      <c r="B314" s="99" t="s">
        <v>73</v>
      </c>
      <c r="C314" s="100" t="s">
        <v>169</v>
      </c>
      <c r="D314" s="99" t="n">
        <v>1</v>
      </c>
      <c r="E314" s="101" t="s">
        <v>189</v>
      </c>
      <c r="F314" s="100"/>
    </row>
    <row r="315" customFormat="false" ht="15" hidden="false" customHeight="true" outlineLevel="0" collapsed="false">
      <c r="A315" s="98" t="n">
        <v>46073</v>
      </c>
      <c r="B315" s="99" t="s">
        <v>66</v>
      </c>
      <c r="C315" s="100" t="s">
        <v>149</v>
      </c>
      <c r="D315" s="99" t="n">
        <v>6</v>
      </c>
      <c r="E315" s="101" t="s">
        <v>186</v>
      </c>
      <c r="F315" s="100"/>
    </row>
    <row r="316" customFormat="false" ht="15" hidden="false" customHeight="true" outlineLevel="0" collapsed="false">
      <c r="A316" s="98" t="n">
        <v>46073</v>
      </c>
      <c r="B316" s="99" t="s">
        <v>67</v>
      </c>
      <c r="C316" s="100" t="s">
        <v>153</v>
      </c>
      <c r="D316" s="99" t="n">
        <v>4</v>
      </c>
      <c r="E316" s="101" t="s">
        <v>187</v>
      </c>
      <c r="F316" s="100"/>
    </row>
    <row r="317" customFormat="false" ht="15" hidden="false" customHeight="true" outlineLevel="0" collapsed="false">
      <c r="A317" s="98" t="n">
        <v>46073</v>
      </c>
      <c r="B317" s="99" t="s">
        <v>68</v>
      </c>
      <c r="C317" s="100" t="s">
        <v>156</v>
      </c>
      <c r="D317" s="99" t="n">
        <v>9</v>
      </c>
      <c r="E317" s="101" t="s">
        <v>188</v>
      </c>
      <c r="F317" s="100"/>
    </row>
    <row r="318" customFormat="false" ht="15" hidden="false" customHeight="true" outlineLevel="0" collapsed="false">
      <c r="A318" s="98" t="n">
        <v>46073</v>
      </c>
      <c r="B318" s="99" t="s">
        <v>69</v>
      </c>
      <c r="C318" s="100" t="s">
        <v>159</v>
      </c>
      <c r="D318" s="99" t="n">
        <v>3</v>
      </c>
      <c r="E318" s="101" t="s">
        <v>189</v>
      </c>
      <c r="F318" s="100"/>
    </row>
    <row r="319" customFormat="false" ht="15" hidden="false" customHeight="true" outlineLevel="0" collapsed="false">
      <c r="A319" s="98" t="n">
        <v>46073</v>
      </c>
      <c r="B319" s="99" t="s">
        <v>70</v>
      </c>
      <c r="C319" s="100" t="s">
        <v>162</v>
      </c>
      <c r="D319" s="99" t="n">
        <v>13</v>
      </c>
      <c r="E319" s="101" t="s">
        <v>185</v>
      </c>
      <c r="F319" s="100"/>
    </row>
    <row r="320" customFormat="false" ht="15" hidden="false" customHeight="true" outlineLevel="0" collapsed="false">
      <c r="A320" s="98" t="n">
        <v>46073</v>
      </c>
      <c r="B320" s="99" t="s">
        <v>71</v>
      </c>
      <c r="C320" s="100" t="s">
        <v>163</v>
      </c>
      <c r="D320" s="99" t="n">
        <v>2</v>
      </c>
      <c r="E320" s="101" t="s">
        <v>186</v>
      </c>
      <c r="F320" s="100"/>
    </row>
    <row r="321" customFormat="false" ht="15" hidden="false" customHeight="true" outlineLevel="0" collapsed="false">
      <c r="A321" s="98" t="n">
        <v>46073</v>
      </c>
      <c r="B321" s="99" t="s">
        <v>72</v>
      </c>
      <c r="C321" s="100" t="s">
        <v>166</v>
      </c>
      <c r="D321" s="99" t="n">
        <v>5</v>
      </c>
      <c r="E321" s="101" t="s">
        <v>187</v>
      </c>
      <c r="F321" s="100"/>
    </row>
    <row r="322" customFormat="false" ht="15" hidden="false" customHeight="true" outlineLevel="0" collapsed="false">
      <c r="A322" s="98" t="n">
        <v>46073</v>
      </c>
      <c r="B322" s="99" t="s">
        <v>73</v>
      </c>
      <c r="C322" s="100" t="s">
        <v>169</v>
      </c>
      <c r="D322" s="99" t="n">
        <v>3</v>
      </c>
      <c r="E322" s="101" t="s">
        <v>188</v>
      </c>
      <c r="F322" s="100"/>
    </row>
    <row r="323" customFormat="false" ht="15" hidden="false" customHeight="true" outlineLevel="0" collapsed="false">
      <c r="A323" s="98" t="n">
        <v>46074</v>
      </c>
      <c r="B323" s="99" t="s">
        <v>66</v>
      </c>
      <c r="C323" s="100" t="s">
        <v>149</v>
      </c>
      <c r="D323" s="99" t="n">
        <v>5</v>
      </c>
      <c r="E323" s="101" t="s">
        <v>185</v>
      </c>
      <c r="F323" s="100"/>
    </row>
    <row r="324" customFormat="false" ht="15" hidden="false" customHeight="true" outlineLevel="0" collapsed="false">
      <c r="A324" s="98" t="n">
        <v>46074</v>
      </c>
      <c r="B324" s="99" t="s">
        <v>67</v>
      </c>
      <c r="C324" s="100" t="s">
        <v>153</v>
      </c>
      <c r="D324" s="99" t="n">
        <v>3</v>
      </c>
      <c r="E324" s="101" t="s">
        <v>186</v>
      </c>
      <c r="F324" s="100"/>
    </row>
    <row r="325" customFormat="false" ht="15" hidden="false" customHeight="true" outlineLevel="0" collapsed="false">
      <c r="A325" s="98" t="n">
        <v>46074</v>
      </c>
      <c r="B325" s="99" t="s">
        <v>68</v>
      </c>
      <c r="C325" s="100" t="s">
        <v>156</v>
      </c>
      <c r="D325" s="99" t="n">
        <v>8</v>
      </c>
      <c r="E325" s="101" t="s">
        <v>187</v>
      </c>
      <c r="F325" s="100"/>
    </row>
    <row r="326" customFormat="false" ht="15" hidden="false" customHeight="true" outlineLevel="0" collapsed="false">
      <c r="A326" s="98" t="n">
        <v>46074</v>
      </c>
      <c r="B326" s="99" t="s">
        <v>69</v>
      </c>
      <c r="C326" s="100" t="s">
        <v>159</v>
      </c>
      <c r="D326" s="99" t="n">
        <v>2</v>
      </c>
      <c r="E326" s="101" t="s">
        <v>188</v>
      </c>
      <c r="F326" s="100"/>
    </row>
    <row r="327" customFormat="false" ht="15" hidden="false" customHeight="true" outlineLevel="0" collapsed="false">
      <c r="A327" s="98" t="n">
        <v>46074</v>
      </c>
      <c r="B327" s="99" t="s">
        <v>70</v>
      </c>
      <c r="C327" s="100" t="s">
        <v>162</v>
      </c>
      <c r="D327" s="99" t="n">
        <v>12</v>
      </c>
      <c r="E327" s="101" t="s">
        <v>189</v>
      </c>
      <c r="F327" s="100"/>
    </row>
    <row r="328" customFormat="false" ht="15" hidden="false" customHeight="true" outlineLevel="0" collapsed="false">
      <c r="A328" s="98" t="n">
        <v>46074</v>
      </c>
      <c r="B328" s="99" t="s">
        <v>71</v>
      </c>
      <c r="C328" s="100" t="s">
        <v>163</v>
      </c>
      <c r="D328" s="99" t="n">
        <v>1</v>
      </c>
      <c r="E328" s="101" t="s">
        <v>185</v>
      </c>
      <c r="F328" s="100"/>
    </row>
    <row r="329" customFormat="false" ht="15" hidden="false" customHeight="true" outlineLevel="0" collapsed="false">
      <c r="A329" s="98" t="n">
        <v>46074</v>
      </c>
      <c r="B329" s="99" t="s">
        <v>72</v>
      </c>
      <c r="C329" s="100" t="s">
        <v>166</v>
      </c>
      <c r="D329" s="99" t="n">
        <v>4</v>
      </c>
      <c r="E329" s="101" t="s">
        <v>186</v>
      </c>
      <c r="F329" s="100"/>
    </row>
    <row r="330" customFormat="false" ht="15" hidden="false" customHeight="true" outlineLevel="0" collapsed="false">
      <c r="A330" s="98" t="n">
        <v>46074</v>
      </c>
      <c r="B330" s="99" t="s">
        <v>73</v>
      </c>
      <c r="C330" s="100" t="s">
        <v>169</v>
      </c>
      <c r="D330" s="99" t="n">
        <v>2</v>
      </c>
      <c r="E330" s="101" t="s">
        <v>187</v>
      </c>
      <c r="F330" s="100"/>
    </row>
    <row r="331" customFormat="false" ht="15" hidden="false" customHeight="true" outlineLevel="0" collapsed="false">
      <c r="A331" s="98" t="n">
        <v>46075</v>
      </c>
      <c r="B331" s="99" t="s">
        <v>66</v>
      </c>
      <c r="C331" s="100" t="s">
        <v>149</v>
      </c>
      <c r="D331" s="99" t="n">
        <v>4</v>
      </c>
      <c r="E331" s="101" t="s">
        <v>189</v>
      </c>
      <c r="F331" s="100"/>
    </row>
    <row r="332" customFormat="false" ht="15" hidden="false" customHeight="true" outlineLevel="0" collapsed="false">
      <c r="A332" s="98" t="n">
        <v>46075</v>
      </c>
      <c r="B332" s="99" t="s">
        <v>67</v>
      </c>
      <c r="C332" s="100" t="s">
        <v>153</v>
      </c>
      <c r="D332" s="99" t="n">
        <v>2</v>
      </c>
      <c r="E332" s="101" t="s">
        <v>185</v>
      </c>
      <c r="F332" s="100"/>
    </row>
    <row r="333" customFormat="false" ht="15" hidden="false" customHeight="true" outlineLevel="0" collapsed="false">
      <c r="A333" s="98" t="n">
        <v>46075</v>
      </c>
      <c r="B333" s="99" t="s">
        <v>68</v>
      </c>
      <c r="C333" s="100" t="s">
        <v>156</v>
      </c>
      <c r="D333" s="99" t="n">
        <v>7</v>
      </c>
      <c r="E333" s="101" t="s">
        <v>186</v>
      </c>
      <c r="F333" s="100"/>
    </row>
    <row r="334" customFormat="false" ht="15" hidden="false" customHeight="true" outlineLevel="0" collapsed="false">
      <c r="A334" s="98" t="n">
        <v>46075</v>
      </c>
      <c r="B334" s="99" t="s">
        <v>69</v>
      </c>
      <c r="C334" s="100" t="s">
        <v>159</v>
      </c>
      <c r="D334" s="99" t="n">
        <v>1</v>
      </c>
      <c r="E334" s="101" t="s">
        <v>187</v>
      </c>
      <c r="F334" s="100"/>
    </row>
    <row r="335" customFormat="false" ht="15" hidden="false" customHeight="true" outlineLevel="0" collapsed="false">
      <c r="A335" s="98" t="n">
        <v>46075</v>
      </c>
      <c r="B335" s="99" t="s">
        <v>70</v>
      </c>
      <c r="C335" s="100" t="s">
        <v>162</v>
      </c>
      <c r="D335" s="99" t="n">
        <v>11</v>
      </c>
      <c r="E335" s="101" t="s">
        <v>188</v>
      </c>
      <c r="F335" s="100"/>
    </row>
    <row r="336" customFormat="false" ht="15" hidden="false" customHeight="true" outlineLevel="0" collapsed="false">
      <c r="A336" s="98" t="n">
        <v>46075</v>
      </c>
      <c r="B336" s="99" t="s">
        <v>71</v>
      </c>
      <c r="C336" s="100" t="s">
        <v>163</v>
      </c>
      <c r="D336" s="99" t="n">
        <v>0</v>
      </c>
      <c r="E336" s="101" t="s">
        <v>189</v>
      </c>
      <c r="F336" s="100"/>
    </row>
    <row r="337" customFormat="false" ht="15" hidden="false" customHeight="true" outlineLevel="0" collapsed="false">
      <c r="A337" s="98" t="n">
        <v>46075</v>
      </c>
      <c r="B337" s="99" t="s">
        <v>72</v>
      </c>
      <c r="C337" s="100" t="s">
        <v>166</v>
      </c>
      <c r="D337" s="99" t="n">
        <v>3</v>
      </c>
      <c r="E337" s="101" t="s">
        <v>185</v>
      </c>
      <c r="F337" s="100"/>
    </row>
    <row r="338" customFormat="false" ht="15" hidden="false" customHeight="true" outlineLevel="0" collapsed="false">
      <c r="A338" s="98" t="n">
        <v>46075</v>
      </c>
      <c r="B338" s="99" t="s">
        <v>73</v>
      </c>
      <c r="C338" s="100" t="s">
        <v>169</v>
      </c>
      <c r="D338" s="99" t="n">
        <v>1</v>
      </c>
      <c r="E338" s="101" t="s">
        <v>186</v>
      </c>
      <c r="F338" s="100"/>
    </row>
    <row r="339" customFormat="false" ht="15" hidden="false" customHeight="true" outlineLevel="0" collapsed="false">
      <c r="A339" s="98" t="n">
        <v>46076</v>
      </c>
      <c r="B339" s="99" t="s">
        <v>66</v>
      </c>
      <c r="C339" s="100" t="s">
        <v>149</v>
      </c>
      <c r="D339" s="99" t="n">
        <v>6</v>
      </c>
      <c r="E339" s="101" t="s">
        <v>188</v>
      </c>
      <c r="F339" s="100"/>
    </row>
    <row r="340" customFormat="false" ht="15" hidden="false" customHeight="true" outlineLevel="0" collapsed="false">
      <c r="A340" s="98" t="n">
        <v>46076</v>
      </c>
      <c r="B340" s="99" t="s">
        <v>67</v>
      </c>
      <c r="C340" s="100" t="s">
        <v>153</v>
      </c>
      <c r="D340" s="99" t="n">
        <v>4</v>
      </c>
      <c r="E340" s="101" t="s">
        <v>189</v>
      </c>
      <c r="F340" s="100"/>
    </row>
    <row r="341" customFormat="false" ht="15" hidden="false" customHeight="true" outlineLevel="0" collapsed="false">
      <c r="A341" s="98" t="n">
        <v>46076</v>
      </c>
      <c r="B341" s="99" t="s">
        <v>68</v>
      </c>
      <c r="C341" s="100" t="s">
        <v>156</v>
      </c>
      <c r="D341" s="99" t="n">
        <v>9</v>
      </c>
      <c r="E341" s="101" t="s">
        <v>185</v>
      </c>
      <c r="F341" s="100"/>
    </row>
    <row r="342" customFormat="false" ht="15" hidden="false" customHeight="true" outlineLevel="0" collapsed="false">
      <c r="A342" s="98" t="n">
        <v>46076</v>
      </c>
      <c r="B342" s="99" t="s">
        <v>69</v>
      </c>
      <c r="C342" s="100" t="s">
        <v>159</v>
      </c>
      <c r="D342" s="99" t="n">
        <v>3</v>
      </c>
      <c r="E342" s="101" t="s">
        <v>186</v>
      </c>
      <c r="F342" s="100"/>
    </row>
    <row r="343" customFormat="false" ht="15" hidden="false" customHeight="true" outlineLevel="0" collapsed="false">
      <c r="A343" s="98" t="n">
        <v>46076</v>
      </c>
      <c r="B343" s="99" t="s">
        <v>70</v>
      </c>
      <c r="C343" s="100" t="s">
        <v>162</v>
      </c>
      <c r="D343" s="99" t="n">
        <v>13</v>
      </c>
      <c r="E343" s="101" t="s">
        <v>187</v>
      </c>
      <c r="F343" s="100"/>
    </row>
    <row r="344" customFormat="false" ht="15" hidden="false" customHeight="true" outlineLevel="0" collapsed="false">
      <c r="A344" s="98" t="n">
        <v>46076</v>
      </c>
      <c r="B344" s="99" t="s">
        <v>71</v>
      </c>
      <c r="C344" s="100" t="s">
        <v>163</v>
      </c>
      <c r="D344" s="99" t="n">
        <v>2</v>
      </c>
      <c r="E344" s="101" t="s">
        <v>188</v>
      </c>
      <c r="F344" s="100"/>
    </row>
    <row r="345" customFormat="false" ht="15" hidden="false" customHeight="true" outlineLevel="0" collapsed="false">
      <c r="A345" s="98" t="n">
        <v>46076</v>
      </c>
      <c r="B345" s="99" t="s">
        <v>72</v>
      </c>
      <c r="C345" s="100" t="s">
        <v>166</v>
      </c>
      <c r="D345" s="99" t="n">
        <v>5</v>
      </c>
      <c r="E345" s="101" t="s">
        <v>189</v>
      </c>
      <c r="F345" s="100"/>
    </row>
    <row r="346" customFormat="false" ht="15" hidden="false" customHeight="true" outlineLevel="0" collapsed="false">
      <c r="A346" s="98" t="n">
        <v>46076</v>
      </c>
      <c r="B346" s="99" t="s">
        <v>73</v>
      </c>
      <c r="C346" s="100" t="s">
        <v>169</v>
      </c>
      <c r="D346" s="99" t="n">
        <v>3</v>
      </c>
      <c r="E346" s="101" t="s">
        <v>185</v>
      </c>
      <c r="F346" s="100"/>
    </row>
    <row r="347" customFormat="false" ht="15" hidden="false" customHeight="true" outlineLevel="0" collapsed="false">
      <c r="A347" s="98" t="n">
        <v>46077</v>
      </c>
      <c r="B347" s="99" t="s">
        <v>66</v>
      </c>
      <c r="C347" s="100" t="s">
        <v>149</v>
      </c>
      <c r="D347" s="99" t="n">
        <v>5</v>
      </c>
      <c r="E347" s="101" t="s">
        <v>187</v>
      </c>
      <c r="F347" s="100"/>
    </row>
    <row r="348" customFormat="false" ht="15" hidden="false" customHeight="true" outlineLevel="0" collapsed="false">
      <c r="A348" s="98" t="n">
        <v>46077</v>
      </c>
      <c r="B348" s="99" t="s">
        <v>67</v>
      </c>
      <c r="C348" s="100" t="s">
        <v>153</v>
      </c>
      <c r="D348" s="99" t="n">
        <v>3</v>
      </c>
      <c r="E348" s="101" t="s">
        <v>188</v>
      </c>
      <c r="F348" s="100"/>
    </row>
    <row r="349" customFormat="false" ht="15" hidden="false" customHeight="true" outlineLevel="0" collapsed="false">
      <c r="A349" s="98" t="n">
        <v>46077</v>
      </c>
      <c r="B349" s="99" t="s">
        <v>68</v>
      </c>
      <c r="C349" s="100" t="s">
        <v>156</v>
      </c>
      <c r="D349" s="99" t="n">
        <v>8</v>
      </c>
      <c r="E349" s="101" t="s">
        <v>189</v>
      </c>
      <c r="F349" s="100"/>
    </row>
    <row r="350" customFormat="false" ht="15" hidden="false" customHeight="true" outlineLevel="0" collapsed="false">
      <c r="A350" s="98" t="n">
        <v>46077</v>
      </c>
      <c r="B350" s="99" t="s">
        <v>69</v>
      </c>
      <c r="C350" s="100" t="s">
        <v>159</v>
      </c>
      <c r="D350" s="99" t="n">
        <v>2</v>
      </c>
      <c r="E350" s="101" t="s">
        <v>185</v>
      </c>
      <c r="F350" s="100"/>
    </row>
    <row r="351" customFormat="false" ht="15" hidden="false" customHeight="true" outlineLevel="0" collapsed="false">
      <c r="A351" s="98" t="n">
        <v>46077</v>
      </c>
      <c r="B351" s="99" t="s">
        <v>70</v>
      </c>
      <c r="C351" s="100" t="s">
        <v>162</v>
      </c>
      <c r="D351" s="99" t="n">
        <v>12</v>
      </c>
      <c r="E351" s="101" t="s">
        <v>186</v>
      </c>
      <c r="F351" s="100"/>
    </row>
    <row r="352" customFormat="false" ht="15" hidden="false" customHeight="true" outlineLevel="0" collapsed="false">
      <c r="A352" s="98" t="n">
        <v>46077</v>
      </c>
      <c r="B352" s="99" t="s">
        <v>71</v>
      </c>
      <c r="C352" s="100" t="s">
        <v>163</v>
      </c>
      <c r="D352" s="99" t="n">
        <v>1</v>
      </c>
      <c r="E352" s="101" t="s">
        <v>187</v>
      </c>
      <c r="F352" s="100"/>
    </row>
    <row r="353" customFormat="false" ht="15" hidden="false" customHeight="true" outlineLevel="0" collapsed="false">
      <c r="A353" s="98" t="n">
        <v>46077</v>
      </c>
      <c r="B353" s="99" t="s">
        <v>72</v>
      </c>
      <c r="C353" s="100" t="s">
        <v>166</v>
      </c>
      <c r="D353" s="99" t="n">
        <v>4</v>
      </c>
      <c r="E353" s="101" t="s">
        <v>188</v>
      </c>
      <c r="F353" s="100"/>
    </row>
    <row r="354" customFormat="false" ht="15" hidden="false" customHeight="true" outlineLevel="0" collapsed="false">
      <c r="A354" s="98" t="n">
        <v>46077</v>
      </c>
      <c r="B354" s="99" t="s">
        <v>73</v>
      </c>
      <c r="C354" s="100" t="s">
        <v>169</v>
      </c>
      <c r="D354" s="99" t="n">
        <v>2</v>
      </c>
      <c r="E354" s="101" t="s">
        <v>189</v>
      </c>
      <c r="F354" s="100"/>
    </row>
    <row r="355" customFormat="false" ht="15" hidden="false" customHeight="true" outlineLevel="0" collapsed="false">
      <c r="A355" s="98" t="n">
        <v>46078</v>
      </c>
      <c r="B355" s="99" t="s">
        <v>66</v>
      </c>
      <c r="C355" s="100" t="s">
        <v>149</v>
      </c>
      <c r="D355" s="99" t="n">
        <v>4</v>
      </c>
      <c r="E355" s="101" t="s">
        <v>186</v>
      </c>
      <c r="F355" s="100"/>
    </row>
    <row r="356" customFormat="false" ht="15" hidden="false" customHeight="true" outlineLevel="0" collapsed="false">
      <c r="A356" s="98" t="n">
        <v>46078</v>
      </c>
      <c r="B356" s="99" t="s">
        <v>67</v>
      </c>
      <c r="C356" s="100" t="s">
        <v>153</v>
      </c>
      <c r="D356" s="99" t="n">
        <v>2</v>
      </c>
      <c r="E356" s="101" t="s">
        <v>187</v>
      </c>
      <c r="F356" s="100"/>
    </row>
    <row r="357" customFormat="false" ht="15" hidden="false" customHeight="true" outlineLevel="0" collapsed="false">
      <c r="A357" s="98" t="n">
        <v>46078</v>
      </c>
      <c r="B357" s="99" t="s">
        <v>68</v>
      </c>
      <c r="C357" s="100" t="s">
        <v>156</v>
      </c>
      <c r="D357" s="99" t="n">
        <v>7</v>
      </c>
      <c r="E357" s="101" t="s">
        <v>188</v>
      </c>
      <c r="F357" s="100"/>
    </row>
    <row r="358" customFormat="false" ht="15" hidden="false" customHeight="true" outlineLevel="0" collapsed="false">
      <c r="A358" s="98" t="n">
        <v>46078</v>
      </c>
      <c r="B358" s="99" t="s">
        <v>69</v>
      </c>
      <c r="C358" s="100" t="s">
        <v>159</v>
      </c>
      <c r="D358" s="99" t="n">
        <v>1</v>
      </c>
      <c r="E358" s="101" t="s">
        <v>189</v>
      </c>
      <c r="F358" s="100"/>
    </row>
    <row r="359" customFormat="false" ht="15" hidden="false" customHeight="true" outlineLevel="0" collapsed="false">
      <c r="A359" s="98" t="n">
        <v>46078</v>
      </c>
      <c r="B359" s="99" t="s">
        <v>70</v>
      </c>
      <c r="C359" s="100" t="s">
        <v>162</v>
      </c>
      <c r="D359" s="99" t="n">
        <v>11</v>
      </c>
      <c r="E359" s="101" t="s">
        <v>185</v>
      </c>
      <c r="F359" s="100"/>
    </row>
    <row r="360" customFormat="false" ht="15" hidden="false" customHeight="true" outlineLevel="0" collapsed="false">
      <c r="A360" s="98" t="n">
        <v>46078</v>
      </c>
      <c r="B360" s="99" t="s">
        <v>71</v>
      </c>
      <c r="C360" s="100" t="s">
        <v>163</v>
      </c>
      <c r="D360" s="99" t="n">
        <v>0</v>
      </c>
      <c r="E360" s="101" t="s">
        <v>186</v>
      </c>
      <c r="F360" s="100"/>
    </row>
    <row r="361" customFormat="false" ht="15" hidden="false" customHeight="true" outlineLevel="0" collapsed="false">
      <c r="A361" s="98" t="n">
        <v>46078</v>
      </c>
      <c r="B361" s="99" t="s">
        <v>72</v>
      </c>
      <c r="C361" s="100" t="s">
        <v>166</v>
      </c>
      <c r="D361" s="99" t="n">
        <v>3</v>
      </c>
      <c r="E361" s="101" t="s">
        <v>187</v>
      </c>
      <c r="F361" s="100"/>
    </row>
    <row r="362" customFormat="false" ht="15" hidden="false" customHeight="true" outlineLevel="0" collapsed="false">
      <c r="A362" s="98" t="n">
        <v>46078</v>
      </c>
      <c r="B362" s="99" t="s">
        <v>73</v>
      </c>
      <c r="C362" s="100" t="s">
        <v>169</v>
      </c>
      <c r="D362" s="99" t="n">
        <v>1</v>
      </c>
      <c r="E362" s="101" t="s">
        <v>188</v>
      </c>
      <c r="F362" s="100"/>
    </row>
    <row r="363" customFormat="false" ht="15" hidden="false" customHeight="true" outlineLevel="0" collapsed="false">
      <c r="A363" s="98" t="n">
        <v>46079</v>
      </c>
      <c r="B363" s="99" t="s">
        <v>66</v>
      </c>
      <c r="C363" s="100" t="s">
        <v>149</v>
      </c>
      <c r="D363" s="99" t="n">
        <v>6</v>
      </c>
      <c r="E363" s="101" t="s">
        <v>185</v>
      </c>
      <c r="F363" s="100"/>
    </row>
    <row r="364" customFormat="false" ht="15" hidden="false" customHeight="true" outlineLevel="0" collapsed="false">
      <c r="A364" s="98" t="n">
        <v>46079</v>
      </c>
      <c r="B364" s="99" t="s">
        <v>67</v>
      </c>
      <c r="C364" s="100" t="s">
        <v>153</v>
      </c>
      <c r="D364" s="99" t="n">
        <v>4</v>
      </c>
      <c r="E364" s="101" t="s">
        <v>186</v>
      </c>
      <c r="F364" s="100"/>
    </row>
    <row r="365" customFormat="false" ht="15" hidden="false" customHeight="true" outlineLevel="0" collapsed="false">
      <c r="A365" s="98" t="n">
        <v>46079</v>
      </c>
      <c r="B365" s="99" t="s">
        <v>68</v>
      </c>
      <c r="C365" s="100" t="s">
        <v>156</v>
      </c>
      <c r="D365" s="99" t="n">
        <v>9</v>
      </c>
      <c r="E365" s="101" t="s">
        <v>187</v>
      </c>
      <c r="F365" s="100"/>
    </row>
    <row r="366" customFormat="false" ht="15" hidden="false" customHeight="true" outlineLevel="0" collapsed="false">
      <c r="A366" s="98" t="n">
        <v>46079</v>
      </c>
      <c r="B366" s="99" t="s">
        <v>69</v>
      </c>
      <c r="C366" s="100" t="s">
        <v>159</v>
      </c>
      <c r="D366" s="99" t="n">
        <v>3</v>
      </c>
      <c r="E366" s="101" t="s">
        <v>188</v>
      </c>
      <c r="F366" s="100"/>
    </row>
    <row r="367" customFormat="false" ht="15" hidden="false" customHeight="true" outlineLevel="0" collapsed="false">
      <c r="A367" s="98" t="n">
        <v>46079</v>
      </c>
      <c r="B367" s="99" t="s">
        <v>70</v>
      </c>
      <c r="C367" s="100" t="s">
        <v>162</v>
      </c>
      <c r="D367" s="99" t="n">
        <v>13</v>
      </c>
      <c r="E367" s="101" t="s">
        <v>189</v>
      </c>
      <c r="F367" s="100"/>
    </row>
    <row r="368" customFormat="false" ht="15" hidden="false" customHeight="true" outlineLevel="0" collapsed="false">
      <c r="A368" s="98" t="n">
        <v>46079</v>
      </c>
      <c r="B368" s="99" t="s">
        <v>71</v>
      </c>
      <c r="C368" s="100" t="s">
        <v>163</v>
      </c>
      <c r="D368" s="99" t="n">
        <v>2</v>
      </c>
      <c r="E368" s="101" t="s">
        <v>185</v>
      </c>
      <c r="F368" s="100"/>
    </row>
    <row r="369" customFormat="false" ht="15" hidden="false" customHeight="true" outlineLevel="0" collapsed="false">
      <c r="A369" s="98" t="n">
        <v>46079</v>
      </c>
      <c r="B369" s="99" t="s">
        <v>72</v>
      </c>
      <c r="C369" s="100" t="s">
        <v>166</v>
      </c>
      <c r="D369" s="99" t="n">
        <v>5</v>
      </c>
      <c r="E369" s="101" t="s">
        <v>186</v>
      </c>
      <c r="F369" s="100"/>
    </row>
    <row r="370" customFormat="false" ht="15" hidden="false" customHeight="true" outlineLevel="0" collapsed="false">
      <c r="A370" s="98" t="n">
        <v>46079</v>
      </c>
      <c r="B370" s="99" t="s">
        <v>73</v>
      </c>
      <c r="C370" s="100" t="s">
        <v>169</v>
      </c>
      <c r="D370" s="99" t="n">
        <v>3</v>
      </c>
      <c r="E370" s="101" t="s">
        <v>187</v>
      </c>
      <c r="F370" s="100"/>
    </row>
    <row r="371" customFormat="false" ht="15" hidden="false" customHeight="true" outlineLevel="0" collapsed="false">
      <c r="A371" s="98" t="n">
        <v>46080</v>
      </c>
      <c r="B371" s="99" t="s">
        <v>66</v>
      </c>
      <c r="C371" s="100" t="s">
        <v>149</v>
      </c>
      <c r="D371" s="99" t="n">
        <v>5</v>
      </c>
      <c r="E371" s="101" t="s">
        <v>189</v>
      </c>
      <c r="F371" s="100"/>
    </row>
    <row r="372" customFormat="false" ht="15" hidden="false" customHeight="true" outlineLevel="0" collapsed="false">
      <c r="A372" s="98" t="n">
        <v>46080</v>
      </c>
      <c r="B372" s="99" t="s">
        <v>67</v>
      </c>
      <c r="C372" s="100" t="s">
        <v>153</v>
      </c>
      <c r="D372" s="99" t="n">
        <v>3</v>
      </c>
      <c r="E372" s="101" t="s">
        <v>185</v>
      </c>
      <c r="F372" s="100"/>
    </row>
    <row r="373" customFormat="false" ht="15" hidden="false" customHeight="true" outlineLevel="0" collapsed="false">
      <c r="A373" s="98" t="n">
        <v>46080</v>
      </c>
      <c r="B373" s="99" t="s">
        <v>68</v>
      </c>
      <c r="C373" s="100" t="s">
        <v>156</v>
      </c>
      <c r="D373" s="99" t="n">
        <v>8</v>
      </c>
      <c r="E373" s="101" t="s">
        <v>186</v>
      </c>
      <c r="F373" s="100"/>
    </row>
    <row r="374" customFormat="false" ht="15" hidden="false" customHeight="true" outlineLevel="0" collapsed="false">
      <c r="A374" s="98" t="n">
        <v>46080</v>
      </c>
      <c r="B374" s="99" t="s">
        <v>69</v>
      </c>
      <c r="C374" s="100" t="s">
        <v>159</v>
      </c>
      <c r="D374" s="99" t="n">
        <v>2</v>
      </c>
      <c r="E374" s="101" t="s">
        <v>187</v>
      </c>
      <c r="F374" s="100"/>
    </row>
    <row r="375" customFormat="false" ht="15" hidden="false" customHeight="true" outlineLevel="0" collapsed="false">
      <c r="A375" s="98" t="n">
        <v>46080</v>
      </c>
      <c r="B375" s="99" t="s">
        <v>70</v>
      </c>
      <c r="C375" s="100" t="s">
        <v>162</v>
      </c>
      <c r="D375" s="99" t="n">
        <v>12</v>
      </c>
      <c r="E375" s="101" t="s">
        <v>188</v>
      </c>
      <c r="F375" s="100"/>
    </row>
    <row r="376" customFormat="false" ht="15" hidden="false" customHeight="true" outlineLevel="0" collapsed="false">
      <c r="A376" s="98" t="n">
        <v>46080</v>
      </c>
      <c r="B376" s="99" t="s">
        <v>71</v>
      </c>
      <c r="C376" s="100" t="s">
        <v>163</v>
      </c>
      <c r="D376" s="99" t="n">
        <v>1</v>
      </c>
      <c r="E376" s="101" t="s">
        <v>189</v>
      </c>
      <c r="F376" s="100"/>
    </row>
    <row r="377" customFormat="false" ht="15" hidden="false" customHeight="true" outlineLevel="0" collapsed="false">
      <c r="A377" s="98" t="n">
        <v>46080</v>
      </c>
      <c r="B377" s="99" t="s">
        <v>72</v>
      </c>
      <c r="C377" s="100" t="s">
        <v>166</v>
      </c>
      <c r="D377" s="99" t="n">
        <v>4</v>
      </c>
      <c r="E377" s="101" t="s">
        <v>185</v>
      </c>
      <c r="F377" s="100"/>
    </row>
    <row r="378" customFormat="false" ht="15" hidden="false" customHeight="true" outlineLevel="0" collapsed="false">
      <c r="A378" s="98" t="n">
        <v>46080</v>
      </c>
      <c r="B378" s="99" t="s">
        <v>73</v>
      </c>
      <c r="C378" s="100" t="s">
        <v>169</v>
      </c>
      <c r="D378" s="99" t="n">
        <v>2</v>
      </c>
      <c r="E378" s="101" t="s">
        <v>186</v>
      </c>
      <c r="F378" s="100"/>
    </row>
    <row r="379" customFormat="false" ht="15" hidden="false" customHeight="true" outlineLevel="0" collapsed="false">
      <c r="A379" s="98" t="n">
        <v>46081</v>
      </c>
      <c r="B379" s="99" t="s">
        <v>66</v>
      </c>
      <c r="C379" s="100" t="s">
        <v>149</v>
      </c>
      <c r="D379" s="99" t="n">
        <v>4</v>
      </c>
      <c r="E379" s="101" t="s">
        <v>188</v>
      </c>
      <c r="F379" s="100"/>
    </row>
    <row r="380" customFormat="false" ht="15" hidden="false" customHeight="true" outlineLevel="0" collapsed="false">
      <c r="A380" s="98" t="n">
        <v>46081</v>
      </c>
      <c r="B380" s="99" t="s">
        <v>67</v>
      </c>
      <c r="C380" s="100" t="s">
        <v>153</v>
      </c>
      <c r="D380" s="99" t="n">
        <v>2</v>
      </c>
      <c r="E380" s="101" t="s">
        <v>189</v>
      </c>
      <c r="F380" s="100"/>
    </row>
    <row r="381" customFormat="false" ht="15" hidden="false" customHeight="true" outlineLevel="0" collapsed="false">
      <c r="A381" s="98" t="n">
        <v>46081</v>
      </c>
      <c r="B381" s="99" t="s">
        <v>68</v>
      </c>
      <c r="C381" s="100" t="s">
        <v>156</v>
      </c>
      <c r="D381" s="99" t="n">
        <v>7</v>
      </c>
      <c r="E381" s="101" t="s">
        <v>185</v>
      </c>
      <c r="F381" s="100"/>
    </row>
    <row r="382" customFormat="false" ht="15" hidden="false" customHeight="true" outlineLevel="0" collapsed="false">
      <c r="A382" s="98" t="n">
        <v>46081</v>
      </c>
      <c r="B382" s="99" t="s">
        <v>69</v>
      </c>
      <c r="C382" s="100" t="s">
        <v>159</v>
      </c>
      <c r="D382" s="99" t="n">
        <v>1</v>
      </c>
      <c r="E382" s="101" t="s">
        <v>186</v>
      </c>
      <c r="F382" s="100"/>
    </row>
    <row r="383" customFormat="false" ht="15" hidden="false" customHeight="true" outlineLevel="0" collapsed="false">
      <c r="A383" s="98" t="n">
        <v>46081</v>
      </c>
      <c r="B383" s="99" t="s">
        <v>70</v>
      </c>
      <c r="C383" s="100" t="s">
        <v>162</v>
      </c>
      <c r="D383" s="99" t="n">
        <v>11</v>
      </c>
      <c r="E383" s="101" t="s">
        <v>187</v>
      </c>
      <c r="F383" s="100"/>
    </row>
    <row r="384" customFormat="false" ht="15" hidden="false" customHeight="true" outlineLevel="0" collapsed="false">
      <c r="A384" s="98" t="n">
        <v>46081</v>
      </c>
      <c r="B384" s="99" t="s">
        <v>71</v>
      </c>
      <c r="C384" s="100" t="s">
        <v>163</v>
      </c>
      <c r="D384" s="99" t="n">
        <v>0</v>
      </c>
      <c r="E384" s="101" t="s">
        <v>188</v>
      </c>
      <c r="F384" s="100"/>
    </row>
    <row r="385" customFormat="false" ht="15" hidden="false" customHeight="true" outlineLevel="0" collapsed="false">
      <c r="A385" s="98" t="n">
        <v>46081</v>
      </c>
      <c r="B385" s="99" t="s">
        <v>72</v>
      </c>
      <c r="C385" s="100" t="s">
        <v>166</v>
      </c>
      <c r="D385" s="99" t="n">
        <v>3</v>
      </c>
      <c r="E385" s="101" t="s">
        <v>189</v>
      </c>
      <c r="F385" s="100"/>
    </row>
    <row r="386" customFormat="false" ht="15" hidden="false" customHeight="true" outlineLevel="0" collapsed="false">
      <c r="A386" s="98" t="n">
        <v>46081</v>
      </c>
      <c r="B386" s="99" t="s">
        <v>73</v>
      </c>
      <c r="C386" s="100" t="s">
        <v>169</v>
      </c>
      <c r="D386" s="99" t="n">
        <v>1</v>
      </c>
      <c r="E386" s="101" t="s">
        <v>185</v>
      </c>
      <c r="F386" s="100"/>
    </row>
    <row r="387" customFormat="false" ht="15" hidden="false" customHeight="true" outlineLevel="0" collapsed="false">
      <c r="A387" s="98" t="n">
        <v>46082</v>
      </c>
      <c r="B387" s="99" t="s">
        <v>66</v>
      </c>
      <c r="C387" s="100" t="s">
        <v>149</v>
      </c>
      <c r="D387" s="99" t="n">
        <v>6</v>
      </c>
      <c r="E387" s="101" t="s">
        <v>187</v>
      </c>
      <c r="F387" s="100"/>
    </row>
    <row r="388" customFormat="false" ht="15" hidden="false" customHeight="true" outlineLevel="0" collapsed="false">
      <c r="A388" s="98" t="n">
        <v>46082</v>
      </c>
      <c r="B388" s="99" t="s">
        <v>67</v>
      </c>
      <c r="C388" s="100" t="s">
        <v>153</v>
      </c>
      <c r="D388" s="99" t="n">
        <v>4</v>
      </c>
      <c r="E388" s="101" t="s">
        <v>188</v>
      </c>
      <c r="F388" s="100"/>
    </row>
    <row r="389" customFormat="false" ht="15" hidden="false" customHeight="true" outlineLevel="0" collapsed="false">
      <c r="A389" s="98" t="n">
        <v>46082</v>
      </c>
      <c r="B389" s="99" t="s">
        <v>68</v>
      </c>
      <c r="C389" s="100" t="s">
        <v>156</v>
      </c>
      <c r="D389" s="99" t="n">
        <v>9</v>
      </c>
      <c r="E389" s="101" t="s">
        <v>189</v>
      </c>
      <c r="F389" s="100"/>
    </row>
    <row r="390" customFormat="false" ht="15" hidden="false" customHeight="true" outlineLevel="0" collapsed="false">
      <c r="A390" s="98" t="n">
        <v>46082</v>
      </c>
      <c r="B390" s="99" t="s">
        <v>69</v>
      </c>
      <c r="C390" s="100" t="s">
        <v>159</v>
      </c>
      <c r="D390" s="99" t="n">
        <v>3</v>
      </c>
      <c r="E390" s="101" t="s">
        <v>185</v>
      </c>
      <c r="F390" s="100"/>
    </row>
    <row r="391" customFormat="false" ht="15" hidden="false" customHeight="true" outlineLevel="0" collapsed="false">
      <c r="A391" s="98" t="n">
        <v>46082</v>
      </c>
      <c r="B391" s="99" t="s">
        <v>70</v>
      </c>
      <c r="C391" s="100" t="s">
        <v>162</v>
      </c>
      <c r="D391" s="99" t="n">
        <v>13</v>
      </c>
      <c r="E391" s="101" t="s">
        <v>186</v>
      </c>
      <c r="F391" s="100"/>
    </row>
    <row r="392" customFormat="false" ht="15" hidden="false" customHeight="true" outlineLevel="0" collapsed="false">
      <c r="A392" s="98" t="n">
        <v>46082</v>
      </c>
      <c r="B392" s="99" t="s">
        <v>71</v>
      </c>
      <c r="C392" s="100" t="s">
        <v>163</v>
      </c>
      <c r="D392" s="99" t="n">
        <v>2</v>
      </c>
      <c r="E392" s="101" t="s">
        <v>187</v>
      </c>
      <c r="F392" s="100"/>
    </row>
    <row r="393" customFormat="false" ht="15" hidden="false" customHeight="true" outlineLevel="0" collapsed="false">
      <c r="A393" s="98" t="n">
        <v>46082</v>
      </c>
      <c r="B393" s="99" t="s">
        <v>72</v>
      </c>
      <c r="C393" s="100" t="s">
        <v>166</v>
      </c>
      <c r="D393" s="99" t="n">
        <v>5</v>
      </c>
      <c r="E393" s="101" t="s">
        <v>188</v>
      </c>
      <c r="F393" s="100"/>
    </row>
    <row r="394" customFormat="false" ht="15" hidden="false" customHeight="true" outlineLevel="0" collapsed="false">
      <c r="A394" s="98" t="n">
        <v>46082</v>
      </c>
      <c r="B394" s="99" t="s">
        <v>73</v>
      </c>
      <c r="C394" s="100" t="s">
        <v>169</v>
      </c>
      <c r="D394" s="99" t="n">
        <v>3</v>
      </c>
      <c r="E394" s="101" t="s">
        <v>189</v>
      </c>
      <c r="F394" s="100"/>
    </row>
    <row r="395" customFormat="false" ht="15" hidden="false" customHeight="true" outlineLevel="0" collapsed="false">
      <c r="A395" s="98" t="n">
        <v>46083</v>
      </c>
      <c r="B395" s="99" t="s">
        <v>66</v>
      </c>
      <c r="C395" s="100" t="s">
        <v>149</v>
      </c>
      <c r="D395" s="99" t="n">
        <v>5</v>
      </c>
      <c r="E395" s="101" t="s">
        <v>186</v>
      </c>
      <c r="F395" s="100"/>
    </row>
    <row r="396" customFormat="false" ht="15" hidden="false" customHeight="true" outlineLevel="0" collapsed="false">
      <c r="A396" s="98" t="n">
        <v>46083</v>
      </c>
      <c r="B396" s="99" t="s">
        <v>67</v>
      </c>
      <c r="C396" s="100" t="s">
        <v>153</v>
      </c>
      <c r="D396" s="99" t="n">
        <v>3</v>
      </c>
      <c r="E396" s="101" t="s">
        <v>187</v>
      </c>
      <c r="F396" s="100"/>
    </row>
    <row r="397" customFormat="false" ht="15" hidden="false" customHeight="true" outlineLevel="0" collapsed="false">
      <c r="A397" s="98" t="n">
        <v>46083</v>
      </c>
      <c r="B397" s="99" t="s">
        <v>68</v>
      </c>
      <c r="C397" s="100" t="s">
        <v>156</v>
      </c>
      <c r="D397" s="99" t="n">
        <v>8</v>
      </c>
      <c r="E397" s="101" t="s">
        <v>188</v>
      </c>
      <c r="F397" s="100"/>
    </row>
    <row r="398" customFormat="false" ht="15" hidden="false" customHeight="true" outlineLevel="0" collapsed="false">
      <c r="A398" s="98" t="n">
        <v>46083</v>
      </c>
      <c r="B398" s="99" t="s">
        <v>69</v>
      </c>
      <c r="C398" s="100" t="s">
        <v>159</v>
      </c>
      <c r="D398" s="99" t="n">
        <v>2</v>
      </c>
      <c r="E398" s="101" t="s">
        <v>189</v>
      </c>
      <c r="F398" s="100"/>
    </row>
    <row r="399" customFormat="false" ht="15" hidden="false" customHeight="true" outlineLevel="0" collapsed="false">
      <c r="A399" s="98" t="n">
        <v>46083</v>
      </c>
      <c r="B399" s="99" t="s">
        <v>70</v>
      </c>
      <c r="C399" s="100" t="s">
        <v>162</v>
      </c>
      <c r="D399" s="99" t="n">
        <v>12</v>
      </c>
      <c r="E399" s="101" t="s">
        <v>185</v>
      </c>
      <c r="F399" s="100"/>
    </row>
    <row r="400" customFormat="false" ht="15" hidden="false" customHeight="true" outlineLevel="0" collapsed="false">
      <c r="A400" s="98" t="n">
        <v>46083</v>
      </c>
      <c r="B400" s="99" t="s">
        <v>71</v>
      </c>
      <c r="C400" s="100" t="s">
        <v>163</v>
      </c>
      <c r="D400" s="99" t="n">
        <v>1</v>
      </c>
      <c r="E400" s="101" t="s">
        <v>186</v>
      </c>
      <c r="F400" s="100"/>
    </row>
    <row r="401" customFormat="false" ht="15" hidden="false" customHeight="true" outlineLevel="0" collapsed="false">
      <c r="A401" s="98" t="n">
        <v>46083</v>
      </c>
      <c r="B401" s="99" t="s">
        <v>72</v>
      </c>
      <c r="C401" s="100" t="s">
        <v>166</v>
      </c>
      <c r="D401" s="99" t="n">
        <v>4</v>
      </c>
      <c r="E401" s="101" t="s">
        <v>187</v>
      </c>
      <c r="F401" s="100"/>
    </row>
    <row r="402" customFormat="false" ht="15" hidden="false" customHeight="true" outlineLevel="0" collapsed="false">
      <c r="A402" s="98" t="n">
        <v>46083</v>
      </c>
      <c r="B402" s="99" t="s">
        <v>73</v>
      </c>
      <c r="C402" s="100" t="s">
        <v>169</v>
      </c>
      <c r="D402" s="99" t="n">
        <v>2</v>
      </c>
      <c r="E402" s="101" t="s">
        <v>188</v>
      </c>
      <c r="F402" s="100"/>
    </row>
    <row r="403" customFormat="false" ht="15" hidden="false" customHeight="true" outlineLevel="0" collapsed="false">
      <c r="A403" s="98" t="n">
        <v>46084</v>
      </c>
      <c r="B403" s="99" t="s">
        <v>66</v>
      </c>
      <c r="C403" s="100" t="s">
        <v>149</v>
      </c>
      <c r="D403" s="99" t="n">
        <v>4</v>
      </c>
      <c r="E403" s="101" t="s">
        <v>185</v>
      </c>
      <c r="F403" s="100"/>
    </row>
    <row r="404" customFormat="false" ht="15" hidden="false" customHeight="true" outlineLevel="0" collapsed="false">
      <c r="A404" s="98" t="n">
        <v>46084</v>
      </c>
      <c r="B404" s="99" t="s">
        <v>67</v>
      </c>
      <c r="C404" s="100" t="s">
        <v>153</v>
      </c>
      <c r="D404" s="99" t="n">
        <v>2</v>
      </c>
      <c r="E404" s="101" t="s">
        <v>186</v>
      </c>
      <c r="F404" s="100"/>
    </row>
    <row r="405" customFormat="false" ht="15" hidden="false" customHeight="true" outlineLevel="0" collapsed="false">
      <c r="A405" s="98" t="n">
        <v>46084</v>
      </c>
      <c r="B405" s="99" t="s">
        <v>68</v>
      </c>
      <c r="C405" s="100" t="s">
        <v>156</v>
      </c>
      <c r="D405" s="99" t="n">
        <v>7</v>
      </c>
      <c r="E405" s="101" t="s">
        <v>187</v>
      </c>
      <c r="F405" s="100"/>
    </row>
    <row r="406" customFormat="false" ht="15" hidden="false" customHeight="true" outlineLevel="0" collapsed="false">
      <c r="A406" s="98" t="n">
        <v>46084</v>
      </c>
      <c r="B406" s="99" t="s">
        <v>69</v>
      </c>
      <c r="C406" s="100" t="s">
        <v>159</v>
      </c>
      <c r="D406" s="99" t="n">
        <v>1</v>
      </c>
      <c r="E406" s="101" t="s">
        <v>188</v>
      </c>
      <c r="F406" s="100"/>
    </row>
    <row r="407" customFormat="false" ht="15" hidden="false" customHeight="true" outlineLevel="0" collapsed="false">
      <c r="A407" s="98" t="n">
        <v>46084</v>
      </c>
      <c r="B407" s="99" t="s">
        <v>70</v>
      </c>
      <c r="C407" s="100" t="s">
        <v>162</v>
      </c>
      <c r="D407" s="99" t="n">
        <v>11</v>
      </c>
      <c r="E407" s="101" t="s">
        <v>189</v>
      </c>
      <c r="F407" s="100"/>
    </row>
    <row r="408" customFormat="false" ht="15" hidden="false" customHeight="true" outlineLevel="0" collapsed="false">
      <c r="A408" s="98" t="n">
        <v>46084</v>
      </c>
      <c r="B408" s="99" t="s">
        <v>71</v>
      </c>
      <c r="C408" s="100" t="s">
        <v>163</v>
      </c>
      <c r="D408" s="99" t="n">
        <v>0</v>
      </c>
      <c r="E408" s="101" t="s">
        <v>185</v>
      </c>
      <c r="F408" s="100"/>
    </row>
    <row r="409" customFormat="false" ht="15" hidden="false" customHeight="true" outlineLevel="0" collapsed="false">
      <c r="A409" s="98" t="n">
        <v>46084</v>
      </c>
      <c r="B409" s="99" t="s">
        <v>72</v>
      </c>
      <c r="C409" s="100" t="s">
        <v>166</v>
      </c>
      <c r="D409" s="99" t="n">
        <v>3</v>
      </c>
      <c r="E409" s="101" t="s">
        <v>186</v>
      </c>
      <c r="F409" s="100"/>
    </row>
    <row r="410" customFormat="false" ht="15" hidden="false" customHeight="true" outlineLevel="0" collapsed="false">
      <c r="A410" s="98" t="n">
        <v>46084</v>
      </c>
      <c r="B410" s="99" t="s">
        <v>73</v>
      </c>
      <c r="C410" s="100" t="s">
        <v>169</v>
      </c>
      <c r="D410" s="99" t="n">
        <v>1</v>
      </c>
      <c r="E410" s="101" t="s">
        <v>187</v>
      </c>
      <c r="F410" s="100"/>
    </row>
    <row r="411" customFormat="false" ht="15" hidden="false" customHeight="true" outlineLevel="0" collapsed="false">
      <c r="A411" s="98" t="n">
        <v>46085</v>
      </c>
      <c r="B411" s="99" t="s">
        <v>66</v>
      </c>
      <c r="C411" s="100" t="s">
        <v>149</v>
      </c>
      <c r="D411" s="99" t="n">
        <v>6</v>
      </c>
      <c r="E411" s="101" t="s">
        <v>189</v>
      </c>
      <c r="F411" s="100"/>
    </row>
    <row r="412" customFormat="false" ht="15" hidden="false" customHeight="true" outlineLevel="0" collapsed="false">
      <c r="A412" s="98" t="n">
        <v>46085</v>
      </c>
      <c r="B412" s="99" t="s">
        <v>67</v>
      </c>
      <c r="C412" s="100" t="s">
        <v>153</v>
      </c>
      <c r="D412" s="99" t="n">
        <v>4</v>
      </c>
      <c r="E412" s="101" t="s">
        <v>185</v>
      </c>
      <c r="F412" s="100"/>
    </row>
    <row r="413" customFormat="false" ht="15" hidden="false" customHeight="true" outlineLevel="0" collapsed="false">
      <c r="A413" s="98" t="n">
        <v>46085</v>
      </c>
      <c r="B413" s="99" t="s">
        <v>68</v>
      </c>
      <c r="C413" s="100" t="s">
        <v>156</v>
      </c>
      <c r="D413" s="99" t="n">
        <v>9</v>
      </c>
      <c r="E413" s="101" t="s">
        <v>186</v>
      </c>
      <c r="F413" s="100"/>
    </row>
    <row r="414" customFormat="false" ht="15" hidden="false" customHeight="true" outlineLevel="0" collapsed="false">
      <c r="A414" s="98" t="n">
        <v>46085</v>
      </c>
      <c r="B414" s="99" t="s">
        <v>69</v>
      </c>
      <c r="C414" s="100" t="s">
        <v>159</v>
      </c>
      <c r="D414" s="99" t="n">
        <v>3</v>
      </c>
      <c r="E414" s="101" t="s">
        <v>187</v>
      </c>
      <c r="F414" s="100"/>
    </row>
    <row r="415" customFormat="false" ht="15" hidden="false" customHeight="true" outlineLevel="0" collapsed="false">
      <c r="A415" s="98" t="n">
        <v>46085</v>
      </c>
      <c r="B415" s="99" t="s">
        <v>70</v>
      </c>
      <c r="C415" s="100" t="s">
        <v>162</v>
      </c>
      <c r="D415" s="99" t="n">
        <v>13</v>
      </c>
      <c r="E415" s="101" t="s">
        <v>188</v>
      </c>
      <c r="F415" s="100"/>
    </row>
    <row r="416" customFormat="false" ht="15" hidden="false" customHeight="true" outlineLevel="0" collapsed="false">
      <c r="A416" s="98" t="n">
        <v>46085</v>
      </c>
      <c r="B416" s="99" t="s">
        <v>71</v>
      </c>
      <c r="C416" s="100" t="s">
        <v>163</v>
      </c>
      <c r="D416" s="99" t="n">
        <v>2</v>
      </c>
      <c r="E416" s="101" t="s">
        <v>189</v>
      </c>
      <c r="F416" s="100"/>
    </row>
    <row r="417" customFormat="false" ht="15" hidden="false" customHeight="true" outlineLevel="0" collapsed="false">
      <c r="A417" s="98" t="n">
        <v>46085</v>
      </c>
      <c r="B417" s="99" t="s">
        <v>72</v>
      </c>
      <c r="C417" s="100" t="s">
        <v>166</v>
      </c>
      <c r="D417" s="99" t="n">
        <v>5</v>
      </c>
      <c r="E417" s="101" t="s">
        <v>185</v>
      </c>
      <c r="F417" s="100"/>
    </row>
    <row r="418" customFormat="false" ht="15" hidden="false" customHeight="true" outlineLevel="0" collapsed="false">
      <c r="A418" s="98" t="n">
        <v>46085</v>
      </c>
      <c r="B418" s="99" t="s">
        <v>73</v>
      </c>
      <c r="C418" s="100" t="s">
        <v>169</v>
      </c>
      <c r="D418" s="99" t="n">
        <v>3</v>
      </c>
      <c r="E418" s="101" t="s">
        <v>186</v>
      </c>
      <c r="F418" s="100"/>
    </row>
    <row r="419" customFormat="false" ht="15" hidden="false" customHeight="true" outlineLevel="0" collapsed="false">
      <c r="A419" s="98" t="n">
        <v>46086</v>
      </c>
      <c r="B419" s="99" t="s">
        <v>66</v>
      </c>
      <c r="C419" s="100" t="s">
        <v>149</v>
      </c>
      <c r="D419" s="99" t="n">
        <v>5</v>
      </c>
      <c r="E419" s="101" t="s">
        <v>188</v>
      </c>
      <c r="F419" s="100"/>
    </row>
    <row r="420" customFormat="false" ht="15" hidden="false" customHeight="true" outlineLevel="0" collapsed="false">
      <c r="A420" s="98" t="n">
        <v>46086</v>
      </c>
      <c r="B420" s="99" t="s">
        <v>67</v>
      </c>
      <c r="C420" s="100" t="s">
        <v>153</v>
      </c>
      <c r="D420" s="99" t="n">
        <v>3</v>
      </c>
      <c r="E420" s="101" t="s">
        <v>189</v>
      </c>
      <c r="F420" s="100"/>
    </row>
    <row r="421" customFormat="false" ht="15" hidden="false" customHeight="true" outlineLevel="0" collapsed="false">
      <c r="A421" s="98" t="n">
        <v>46086</v>
      </c>
      <c r="B421" s="99" t="s">
        <v>68</v>
      </c>
      <c r="C421" s="100" t="s">
        <v>156</v>
      </c>
      <c r="D421" s="99" t="n">
        <v>8</v>
      </c>
      <c r="E421" s="101" t="s">
        <v>185</v>
      </c>
      <c r="F421" s="100"/>
    </row>
    <row r="422" customFormat="false" ht="15" hidden="false" customHeight="true" outlineLevel="0" collapsed="false">
      <c r="A422" s="98" t="n">
        <v>46086</v>
      </c>
      <c r="B422" s="99" t="s">
        <v>69</v>
      </c>
      <c r="C422" s="100" t="s">
        <v>159</v>
      </c>
      <c r="D422" s="99" t="n">
        <v>2</v>
      </c>
      <c r="E422" s="101" t="s">
        <v>186</v>
      </c>
      <c r="F422" s="100"/>
    </row>
    <row r="423" customFormat="false" ht="15" hidden="false" customHeight="true" outlineLevel="0" collapsed="false">
      <c r="A423" s="98" t="n">
        <v>46086</v>
      </c>
      <c r="B423" s="99" t="s">
        <v>70</v>
      </c>
      <c r="C423" s="100" t="s">
        <v>162</v>
      </c>
      <c r="D423" s="99" t="n">
        <v>12</v>
      </c>
      <c r="E423" s="101" t="s">
        <v>187</v>
      </c>
      <c r="F423" s="100"/>
    </row>
    <row r="424" customFormat="false" ht="15" hidden="false" customHeight="true" outlineLevel="0" collapsed="false">
      <c r="A424" s="98" t="n">
        <v>46086</v>
      </c>
      <c r="B424" s="99" t="s">
        <v>71</v>
      </c>
      <c r="C424" s="100" t="s">
        <v>163</v>
      </c>
      <c r="D424" s="99" t="n">
        <v>1</v>
      </c>
      <c r="E424" s="101" t="s">
        <v>188</v>
      </c>
      <c r="F424" s="100"/>
    </row>
    <row r="425" customFormat="false" ht="15" hidden="false" customHeight="true" outlineLevel="0" collapsed="false">
      <c r="A425" s="98" t="n">
        <v>46086</v>
      </c>
      <c r="B425" s="99" t="s">
        <v>72</v>
      </c>
      <c r="C425" s="100" t="s">
        <v>166</v>
      </c>
      <c r="D425" s="99" t="n">
        <v>4</v>
      </c>
      <c r="E425" s="101" t="s">
        <v>189</v>
      </c>
      <c r="F425" s="100"/>
    </row>
    <row r="426" customFormat="false" ht="15" hidden="false" customHeight="true" outlineLevel="0" collapsed="false">
      <c r="A426" s="98" t="n">
        <v>46086</v>
      </c>
      <c r="B426" s="99" t="s">
        <v>73</v>
      </c>
      <c r="C426" s="100" t="s">
        <v>169</v>
      </c>
      <c r="D426" s="99" t="n">
        <v>2</v>
      </c>
      <c r="E426" s="101" t="s">
        <v>185</v>
      </c>
      <c r="F426" s="100"/>
    </row>
    <row r="427" customFormat="false" ht="15" hidden="false" customHeight="true" outlineLevel="0" collapsed="false">
      <c r="A427" s="98" t="n">
        <v>46087</v>
      </c>
      <c r="B427" s="99" t="s">
        <v>66</v>
      </c>
      <c r="C427" s="100" t="s">
        <v>149</v>
      </c>
      <c r="D427" s="99" t="n">
        <v>4</v>
      </c>
      <c r="E427" s="101" t="s">
        <v>187</v>
      </c>
      <c r="F427" s="100"/>
    </row>
    <row r="428" customFormat="false" ht="15" hidden="false" customHeight="true" outlineLevel="0" collapsed="false">
      <c r="A428" s="98" t="n">
        <v>46087</v>
      </c>
      <c r="B428" s="99" t="s">
        <v>67</v>
      </c>
      <c r="C428" s="100" t="s">
        <v>153</v>
      </c>
      <c r="D428" s="99" t="n">
        <v>2</v>
      </c>
      <c r="E428" s="101" t="s">
        <v>188</v>
      </c>
      <c r="F428" s="100"/>
    </row>
    <row r="429" customFormat="false" ht="15" hidden="false" customHeight="true" outlineLevel="0" collapsed="false">
      <c r="A429" s="98" t="n">
        <v>46087</v>
      </c>
      <c r="B429" s="99" t="s">
        <v>68</v>
      </c>
      <c r="C429" s="100" t="s">
        <v>156</v>
      </c>
      <c r="D429" s="99" t="n">
        <v>7</v>
      </c>
      <c r="E429" s="101" t="s">
        <v>189</v>
      </c>
      <c r="F429" s="100"/>
    </row>
    <row r="430" customFormat="false" ht="15" hidden="false" customHeight="true" outlineLevel="0" collapsed="false">
      <c r="A430" s="98" t="n">
        <v>46087</v>
      </c>
      <c r="B430" s="99" t="s">
        <v>69</v>
      </c>
      <c r="C430" s="100" t="s">
        <v>159</v>
      </c>
      <c r="D430" s="99" t="n">
        <v>1</v>
      </c>
      <c r="E430" s="101" t="s">
        <v>185</v>
      </c>
      <c r="F430" s="100"/>
    </row>
    <row r="431" customFormat="false" ht="15" hidden="false" customHeight="true" outlineLevel="0" collapsed="false">
      <c r="A431" s="98" t="n">
        <v>46087</v>
      </c>
      <c r="B431" s="99" t="s">
        <v>70</v>
      </c>
      <c r="C431" s="100" t="s">
        <v>162</v>
      </c>
      <c r="D431" s="99" t="n">
        <v>11</v>
      </c>
      <c r="E431" s="101" t="s">
        <v>186</v>
      </c>
      <c r="F431" s="100"/>
    </row>
    <row r="432" customFormat="false" ht="15" hidden="false" customHeight="true" outlineLevel="0" collapsed="false">
      <c r="A432" s="98" t="n">
        <v>46087</v>
      </c>
      <c r="B432" s="99" t="s">
        <v>71</v>
      </c>
      <c r="C432" s="100" t="s">
        <v>163</v>
      </c>
      <c r="D432" s="99" t="n">
        <v>0</v>
      </c>
      <c r="E432" s="101" t="s">
        <v>187</v>
      </c>
      <c r="F432" s="100"/>
    </row>
    <row r="433" customFormat="false" ht="15" hidden="false" customHeight="true" outlineLevel="0" collapsed="false">
      <c r="A433" s="98" t="n">
        <v>46087</v>
      </c>
      <c r="B433" s="99" t="s">
        <v>72</v>
      </c>
      <c r="C433" s="100" t="s">
        <v>166</v>
      </c>
      <c r="D433" s="99" t="n">
        <v>3</v>
      </c>
      <c r="E433" s="101" t="s">
        <v>188</v>
      </c>
      <c r="F433" s="100"/>
    </row>
    <row r="434" customFormat="false" ht="15" hidden="false" customHeight="true" outlineLevel="0" collapsed="false">
      <c r="A434" s="98" t="n">
        <v>46087</v>
      </c>
      <c r="B434" s="99" t="s">
        <v>73</v>
      </c>
      <c r="C434" s="100" t="s">
        <v>169</v>
      </c>
      <c r="D434" s="99" t="n">
        <v>1</v>
      </c>
      <c r="E434" s="101" t="s">
        <v>189</v>
      </c>
      <c r="F434" s="100"/>
    </row>
    <row r="435" customFormat="false" ht="15" hidden="false" customHeight="true" outlineLevel="0" collapsed="false">
      <c r="A435" s="98" t="n">
        <v>46088</v>
      </c>
      <c r="B435" s="99" t="s">
        <v>66</v>
      </c>
      <c r="C435" s="100" t="s">
        <v>149</v>
      </c>
      <c r="D435" s="99" t="n">
        <v>6</v>
      </c>
      <c r="E435" s="101" t="s">
        <v>186</v>
      </c>
      <c r="F435" s="100"/>
    </row>
    <row r="436" customFormat="false" ht="15" hidden="false" customHeight="true" outlineLevel="0" collapsed="false">
      <c r="A436" s="98" t="n">
        <v>46088</v>
      </c>
      <c r="B436" s="99" t="s">
        <v>67</v>
      </c>
      <c r="C436" s="100" t="s">
        <v>153</v>
      </c>
      <c r="D436" s="99" t="n">
        <v>4</v>
      </c>
      <c r="E436" s="101" t="s">
        <v>187</v>
      </c>
      <c r="F436" s="100"/>
    </row>
    <row r="437" customFormat="false" ht="15" hidden="false" customHeight="true" outlineLevel="0" collapsed="false">
      <c r="A437" s="98" t="n">
        <v>46088</v>
      </c>
      <c r="B437" s="99" t="s">
        <v>68</v>
      </c>
      <c r="C437" s="100" t="s">
        <v>156</v>
      </c>
      <c r="D437" s="99" t="n">
        <v>9</v>
      </c>
      <c r="E437" s="101" t="s">
        <v>188</v>
      </c>
      <c r="F437" s="100"/>
    </row>
    <row r="438" customFormat="false" ht="15" hidden="false" customHeight="true" outlineLevel="0" collapsed="false">
      <c r="A438" s="98" t="n">
        <v>46088</v>
      </c>
      <c r="B438" s="99" t="s">
        <v>69</v>
      </c>
      <c r="C438" s="100" t="s">
        <v>159</v>
      </c>
      <c r="D438" s="99" t="n">
        <v>3</v>
      </c>
      <c r="E438" s="101" t="s">
        <v>189</v>
      </c>
      <c r="F438" s="100"/>
    </row>
    <row r="439" customFormat="false" ht="15" hidden="false" customHeight="true" outlineLevel="0" collapsed="false">
      <c r="A439" s="98" t="n">
        <v>46088</v>
      </c>
      <c r="B439" s="99" t="s">
        <v>70</v>
      </c>
      <c r="C439" s="100" t="s">
        <v>162</v>
      </c>
      <c r="D439" s="99" t="n">
        <v>13</v>
      </c>
      <c r="E439" s="101" t="s">
        <v>185</v>
      </c>
      <c r="F439" s="100"/>
    </row>
    <row r="440" customFormat="false" ht="15" hidden="false" customHeight="true" outlineLevel="0" collapsed="false">
      <c r="A440" s="98" t="n">
        <v>46088</v>
      </c>
      <c r="B440" s="99" t="s">
        <v>71</v>
      </c>
      <c r="C440" s="100" t="s">
        <v>163</v>
      </c>
      <c r="D440" s="99" t="n">
        <v>2</v>
      </c>
      <c r="E440" s="101" t="s">
        <v>186</v>
      </c>
      <c r="F440" s="100"/>
    </row>
    <row r="441" customFormat="false" ht="15" hidden="false" customHeight="true" outlineLevel="0" collapsed="false">
      <c r="A441" s="98" t="n">
        <v>46088</v>
      </c>
      <c r="B441" s="99" t="s">
        <v>72</v>
      </c>
      <c r="C441" s="100" t="s">
        <v>166</v>
      </c>
      <c r="D441" s="99" t="n">
        <v>5</v>
      </c>
      <c r="E441" s="101" t="s">
        <v>187</v>
      </c>
      <c r="F441" s="100"/>
    </row>
    <row r="442" customFormat="false" ht="15" hidden="false" customHeight="true" outlineLevel="0" collapsed="false">
      <c r="A442" s="98" t="n">
        <v>46088</v>
      </c>
      <c r="B442" s="99" t="s">
        <v>73</v>
      </c>
      <c r="C442" s="100" t="s">
        <v>169</v>
      </c>
      <c r="D442" s="99" t="n">
        <v>3</v>
      </c>
      <c r="E442" s="101" t="s">
        <v>188</v>
      </c>
      <c r="F442" s="100"/>
    </row>
    <row r="443" customFormat="false" ht="15" hidden="false" customHeight="true" outlineLevel="0" collapsed="false">
      <c r="A443" s="98" t="n">
        <v>46089</v>
      </c>
      <c r="B443" s="99" t="s">
        <v>66</v>
      </c>
      <c r="C443" s="100" t="s">
        <v>149</v>
      </c>
      <c r="D443" s="99" t="n">
        <v>5</v>
      </c>
      <c r="E443" s="101" t="s">
        <v>185</v>
      </c>
      <c r="F443" s="100"/>
    </row>
    <row r="444" customFormat="false" ht="15" hidden="false" customHeight="true" outlineLevel="0" collapsed="false">
      <c r="A444" s="98" t="n">
        <v>46089</v>
      </c>
      <c r="B444" s="99" t="s">
        <v>67</v>
      </c>
      <c r="C444" s="100" t="s">
        <v>153</v>
      </c>
      <c r="D444" s="99" t="n">
        <v>3</v>
      </c>
      <c r="E444" s="101" t="s">
        <v>186</v>
      </c>
      <c r="F444" s="100"/>
    </row>
    <row r="445" customFormat="false" ht="15" hidden="false" customHeight="true" outlineLevel="0" collapsed="false">
      <c r="A445" s="98" t="n">
        <v>46089</v>
      </c>
      <c r="B445" s="99" t="s">
        <v>68</v>
      </c>
      <c r="C445" s="100" t="s">
        <v>156</v>
      </c>
      <c r="D445" s="99" t="n">
        <v>8</v>
      </c>
      <c r="E445" s="101" t="s">
        <v>187</v>
      </c>
      <c r="F445" s="100"/>
    </row>
    <row r="446" customFormat="false" ht="15" hidden="false" customHeight="true" outlineLevel="0" collapsed="false">
      <c r="A446" s="98" t="n">
        <v>46089</v>
      </c>
      <c r="B446" s="99" t="s">
        <v>69</v>
      </c>
      <c r="C446" s="100" t="s">
        <v>159</v>
      </c>
      <c r="D446" s="99" t="n">
        <v>2</v>
      </c>
      <c r="E446" s="101" t="s">
        <v>188</v>
      </c>
      <c r="F446" s="100"/>
    </row>
    <row r="447" customFormat="false" ht="15" hidden="false" customHeight="true" outlineLevel="0" collapsed="false">
      <c r="A447" s="98" t="n">
        <v>46089</v>
      </c>
      <c r="B447" s="99" t="s">
        <v>70</v>
      </c>
      <c r="C447" s="100" t="s">
        <v>162</v>
      </c>
      <c r="D447" s="99" t="n">
        <v>12</v>
      </c>
      <c r="E447" s="101" t="s">
        <v>189</v>
      </c>
      <c r="F447" s="100"/>
    </row>
    <row r="448" customFormat="false" ht="15" hidden="false" customHeight="true" outlineLevel="0" collapsed="false">
      <c r="A448" s="98" t="n">
        <v>46089</v>
      </c>
      <c r="B448" s="99" t="s">
        <v>71</v>
      </c>
      <c r="C448" s="100" t="s">
        <v>163</v>
      </c>
      <c r="D448" s="99" t="n">
        <v>1</v>
      </c>
      <c r="E448" s="101" t="s">
        <v>185</v>
      </c>
      <c r="F448" s="100"/>
    </row>
    <row r="449" customFormat="false" ht="15" hidden="false" customHeight="true" outlineLevel="0" collapsed="false">
      <c r="A449" s="98" t="n">
        <v>46089</v>
      </c>
      <c r="B449" s="99" t="s">
        <v>72</v>
      </c>
      <c r="C449" s="100" t="s">
        <v>166</v>
      </c>
      <c r="D449" s="99" t="n">
        <v>4</v>
      </c>
      <c r="E449" s="101" t="s">
        <v>186</v>
      </c>
      <c r="F449" s="100"/>
    </row>
    <row r="450" customFormat="false" ht="15" hidden="false" customHeight="true" outlineLevel="0" collapsed="false">
      <c r="A450" s="98" t="n">
        <v>46089</v>
      </c>
      <c r="B450" s="99" t="s">
        <v>73</v>
      </c>
      <c r="C450" s="100" t="s">
        <v>169</v>
      </c>
      <c r="D450" s="99" t="n">
        <v>2</v>
      </c>
      <c r="E450" s="101" t="s">
        <v>187</v>
      </c>
      <c r="F450" s="100"/>
    </row>
    <row r="451" customFormat="false" ht="15" hidden="false" customHeight="true" outlineLevel="0" collapsed="false">
      <c r="A451" s="98" t="n">
        <v>46090</v>
      </c>
      <c r="B451" s="99" t="s">
        <v>66</v>
      </c>
      <c r="C451" s="100" t="s">
        <v>149</v>
      </c>
      <c r="D451" s="99" t="n">
        <v>4</v>
      </c>
      <c r="E451" s="101" t="s">
        <v>189</v>
      </c>
      <c r="F451" s="100"/>
    </row>
    <row r="452" customFormat="false" ht="15" hidden="false" customHeight="true" outlineLevel="0" collapsed="false">
      <c r="A452" s="98" t="n">
        <v>46090</v>
      </c>
      <c r="B452" s="99" t="s">
        <v>67</v>
      </c>
      <c r="C452" s="100" t="s">
        <v>153</v>
      </c>
      <c r="D452" s="99" t="n">
        <v>2</v>
      </c>
      <c r="E452" s="101" t="s">
        <v>185</v>
      </c>
      <c r="F452" s="100"/>
    </row>
    <row r="453" customFormat="false" ht="15" hidden="false" customHeight="true" outlineLevel="0" collapsed="false">
      <c r="A453" s="98" t="n">
        <v>46090</v>
      </c>
      <c r="B453" s="99" t="s">
        <v>68</v>
      </c>
      <c r="C453" s="100" t="s">
        <v>156</v>
      </c>
      <c r="D453" s="99" t="n">
        <v>7</v>
      </c>
      <c r="E453" s="101" t="s">
        <v>186</v>
      </c>
      <c r="F453" s="100"/>
    </row>
    <row r="454" customFormat="false" ht="15" hidden="false" customHeight="true" outlineLevel="0" collapsed="false">
      <c r="A454" s="98" t="n">
        <v>46090</v>
      </c>
      <c r="B454" s="99" t="s">
        <v>69</v>
      </c>
      <c r="C454" s="100" t="s">
        <v>159</v>
      </c>
      <c r="D454" s="99" t="n">
        <v>1</v>
      </c>
      <c r="E454" s="101" t="s">
        <v>187</v>
      </c>
      <c r="F454" s="100"/>
    </row>
    <row r="455" customFormat="false" ht="15" hidden="false" customHeight="true" outlineLevel="0" collapsed="false">
      <c r="A455" s="98" t="n">
        <v>46090</v>
      </c>
      <c r="B455" s="99" t="s">
        <v>70</v>
      </c>
      <c r="C455" s="100" t="s">
        <v>162</v>
      </c>
      <c r="D455" s="99" t="n">
        <v>11</v>
      </c>
      <c r="E455" s="101" t="s">
        <v>188</v>
      </c>
      <c r="F455" s="100"/>
    </row>
    <row r="456" customFormat="false" ht="15" hidden="false" customHeight="true" outlineLevel="0" collapsed="false">
      <c r="A456" s="98" t="n">
        <v>46090</v>
      </c>
      <c r="B456" s="99" t="s">
        <v>71</v>
      </c>
      <c r="C456" s="100" t="s">
        <v>163</v>
      </c>
      <c r="D456" s="99" t="n">
        <v>0</v>
      </c>
      <c r="E456" s="101" t="s">
        <v>189</v>
      </c>
      <c r="F456" s="100"/>
    </row>
    <row r="457" customFormat="false" ht="15" hidden="false" customHeight="true" outlineLevel="0" collapsed="false">
      <c r="A457" s="98" t="n">
        <v>46090</v>
      </c>
      <c r="B457" s="99" t="s">
        <v>72</v>
      </c>
      <c r="C457" s="100" t="s">
        <v>166</v>
      </c>
      <c r="D457" s="99" t="n">
        <v>3</v>
      </c>
      <c r="E457" s="101" t="s">
        <v>185</v>
      </c>
      <c r="F457" s="100"/>
    </row>
    <row r="458" customFormat="false" ht="15" hidden="false" customHeight="true" outlineLevel="0" collapsed="false">
      <c r="A458" s="98" t="n">
        <v>46090</v>
      </c>
      <c r="B458" s="99" t="s">
        <v>73</v>
      </c>
      <c r="C458" s="100" t="s">
        <v>169</v>
      </c>
      <c r="D458" s="99" t="n">
        <v>1</v>
      </c>
      <c r="E458" s="101" t="s">
        <v>186</v>
      </c>
      <c r="F458" s="100"/>
    </row>
    <row r="459" customFormat="false" ht="15" hidden="false" customHeight="true" outlineLevel="0" collapsed="false">
      <c r="A459" s="98" t="n">
        <v>46091</v>
      </c>
      <c r="B459" s="99" t="s">
        <v>66</v>
      </c>
      <c r="C459" s="100" t="s">
        <v>149</v>
      </c>
      <c r="D459" s="99" t="n">
        <v>6</v>
      </c>
      <c r="E459" s="101" t="s">
        <v>188</v>
      </c>
      <c r="F459" s="100"/>
    </row>
    <row r="460" customFormat="false" ht="15" hidden="false" customHeight="true" outlineLevel="0" collapsed="false">
      <c r="A460" s="98" t="n">
        <v>46091</v>
      </c>
      <c r="B460" s="99" t="s">
        <v>67</v>
      </c>
      <c r="C460" s="100" t="s">
        <v>153</v>
      </c>
      <c r="D460" s="99" t="n">
        <v>4</v>
      </c>
      <c r="E460" s="101" t="s">
        <v>189</v>
      </c>
      <c r="F460" s="100"/>
    </row>
    <row r="461" customFormat="false" ht="15" hidden="false" customHeight="true" outlineLevel="0" collapsed="false">
      <c r="A461" s="98" t="n">
        <v>46091</v>
      </c>
      <c r="B461" s="99" t="s">
        <v>68</v>
      </c>
      <c r="C461" s="100" t="s">
        <v>156</v>
      </c>
      <c r="D461" s="99" t="n">
        <v>9</v>
      </c>
      <c r="E461" s="101" t="s">
        <v>185</v>
      </c>
      <c r="F461" s="100"/>
    </row>
    <row r="462" customFormat="false" ht="15" hidden="false" customHeight="true" outlineLevel="0" collapsed="false">
      <c r="A462" s="98" t="n">
        <v>46091</v>
      </c>
      <c r="B462" s="99" t="s">
        <v>69</v>
      </c>
      <c r="C462" s="100" t="s">
        <v>159</v>
      </c>
      <c r="D462" s="99" t="n">
        <v>3</v>
      </c>
      <c r="E462" s="101" t="s">
        <v>186</v>
      </c>
      <c r="F462" s="100"/>
    </row>
    <row r="463" customFormat="false" ht="15" hidden="false" customHeight="true" outlineLevel="0" collapsed="false">
      <c r="A463" s="98" t="n">
        <v>46091</v>
      </c>
      <c r="B463" s="99" t="s">
        <v>70</v>
      </c>
      <c r="C463" s="100" t="s">
        <v>162</v>
      </c>
      <c r="D463" s="99" t="n">
        <v>13</v>
      </c>
      <c r="E463" s="101" t="s">
        <v>187</v>
      </c>
      <c r="F463" s="100"/>
    </row>
    <row r="464" customFormat="false" ht="15" hidden="false" customHeight="true" outlineLevel="0" collapsed="false">
      <c r="A464" s="98" t="n">
        <v>46091</v>
      </c>
      <c r="B464" s="99" t="s">
        <v>71</v>
      </c>
      <c r="C464" s="100" t="s">
        <v>163</v>
      </c>
      <c r="D464" s="99" t="n">
        <v>2</v>
      </c>
      <c r="E464" s="101" t="s">
        <v>188</v>
      </c>
      <c r="F464" s="100"/>
    </row>
    <row r="465" customFormat="false" ht="15" hidden="false" customHeight="true" outlineLevel="0" collapsed="false">
      <c r="A465" s="98" t="n">
        <v>46091</v>
      </c>
      <c r="B465" s="99" t="s">
        <v>72</v>
      </c>
      <c r="C465" s="100" t="s">
        <v>166</v>
      </c>
      <c r="D465" s="99" t="n">
        <v>5</v>
      </c>
      <c r="E465" s="101" t="s">
        <v>189</v>
      </c>
      <c r="F465" s="100"/>
    </row>
    <row r="466" customFormat="false" ht="15" hidden="false" customHeight="true" outlineLevel="0" collapsed="false">
      <c r="A466" s="98" t="n">
        <v>46091</v>
      </c>
      <c r="B466" s="99" t="s">
        <v>73</v>
      </c>
      <c r="C466" s="100" t="s">
        <v>169</v>
      </c>
      <c r="D466" s="99" t="n">
        <v>3</v>
      </c>
      <c r="E466" s="101" t="s">
        <v>185</v>
      </c>
      <c r="F466" s="100"/>
    </row>
    <row r="467" customFormat="false" ht="15" hidden="false" customHeight="true" outlineLevel="0" collapsed="false">
      <c r="A467" s="98" t="n">
        <v>46092</v>
      </c>
      <c r="B467" s="99" t="s">
        <v>66</v>
      </c>
      <c r="C467" s="100" t="s">
        <v>149</v>
      </c>
      <c r="D467" s="99" t="n">
        <v>5</v>
      </c>
      <c r="E467" s="101" t="s">
        <v>187</v>
      </c>
      <c r="F467" s="100"/>
    </row>
    <row r="468" customFormat="false" ht="15" hidden="false" customHeight="true" outlineLevel="0" collapsed="false">
      <c r="A468" s="98" t="n">
        <v>46092</v>
      </c>
      <c r="B468" s="99" t="s">
        <v>67</v>
      </c>
      <c r="C468" s="100" t="s">
        <v>153</v>
      </c>
      <c r="D468" s="99" t="n">
        <v>3</v>
      </c>
      <c r="E468" s="101" t="s">
        <v>188</v>
      </c>
      <c r="F468" s="100"/>
    </row>
    <row r="469" customFormat="false" ht="15" hidden="false" customHeight="true" outlineLevel="0" collapsed="false">
      <c r="A469" s="98" t="n">
        <v>46092</v>
      </c>
      <c r="B469" s="99" t="s">
        <v>68</v>
      </c>
      <c r="C469" s="100" t="s">
        <v>156</v>
      </c>
      <c r="D469" s="99" t="n">
        <v>8</v>
      </c>
      <c r="E469" s="101" t="s">
        <v>189</v>
      </c>
      <c r="F469" s="100"/>
    </row>
    <row r="470" customFormat="false" ht="15" hidden="false" customHeight="true" outlineLevel="0" collapsed="false">
      <c r="A470" s="98" t="n">
        <v>46092</v>
      </c>
      <c r="B470" s="99" t="s">
        <v>69</v>
      </c>
      <c r="C470" s="100" t="s">
        <v>159</v>
      </c>
      <c r="D470" s="99" t="n">
        <v>2</v>
      </c>
      <c r="E470" s="101" t="s">
        <v>185</v>
      </c>
      <c r="F470" s="100"/>
    </row>
    <row r="471" customFormat="false" ht="15" hidden="false" customHeight="true" outlineLevel="0" collapsed="false">
      <c r="A471" s="98" t="n">
        <v>46092</v>
      </c>
      <c r="B471" s="99" t="s">
        <v>70</v>
      </c>
      <c r="C471" s="100" t="s">
        <v>162</v>
      </c>
      <c r="D471" s="99" t="n">
        <v>12</v>
      </c>
      <c r="E471" s="101" t="s">
        <v>186</v>
      </c>
      <c r="F471" s="100"/>
    </row>
    <row r="472" customFormat="false" ht="15" hidden="false" customHeight="true" outlineLevel="0" collapsed="false">
      <c r="A472" s="98" t="n">
        <v>46092</v>
      </c>
      <c r="B472" s="99" t="s">
        <v>71</v>
      </c>
      <c r="C472" s="100" t="s">
        <v>163</v>
      </c>
      <c r="D472" s="99" t="n">
        <v>1</v>
      </c>
      <c r="E472" s="101" t="s">
        <v>187</v>
      </c>
      <c r="F472" s="100"/>
    </row>
    <row r="473" customFormat="false" ht="15" hidden="false" customHeight="true" outlineLevel="0" collapsed="false">
      <c r="A473" s="98" t="n">
        <v>46092</v>
      </c>
      <c r="B473" s="99" t="s">
        <v>72</v>
      </c>
      <c r="C473" s="100" t="s">
        <v>166</v>
      </c>
      <c r="D473" s="99" t="n">
        <v>4</v>
      </c>
      <c r="E473" s="101" t="s">
        <v>188</v>
      </c>
      <c r="F473" s="100"/>
    </row>
    <row r="474" customFormat="false" ht="15" hidden="false" customHeight="true" outlineLevel="0" collapsed="false">
      <c r="A474" s="98" t="n">
        <v>46092</v>
      </c>
      <c r="B474" s="99" t="s">
        <v>73</v>
      </c>
      <c r="C474" s="100" t="s">
        <v>169</v>
      </c>
      <c r="D474" s="99" t="n">
        <v>2</v>
      </c>
      <c r="E474" s="101" t="s">
        <v>189</v>
      </c>
      <c r="F474" s="100"/>
    </row>
    <row r="475" customFormat="false" ht="15" hidden="false" customHeight="true" outlineLevel="0" collapsed="false">
      <c r="A475" s="98" t="n">
        <v>46093</v>
      </c>
      <c r="B475" s="99" t="s">
        <v>66</v>
      </c>
      <c r="C475" s="100" t="s">
        <v>149</v>
      </c>
      <c r="D475" s="99" t="n">
        <v>4</v>
      </c>
      <c r="E475" s="101" t="s">
        <v>186</v>
      </c>
      <c r="F475" s="100"/>
    </row>
    <row r="476" customFormat="false" ht="15" hidden="false" customHeight="true" outlineLevel="0" collapsed="false">
      <c r="A476" s="98" t="n">
        <v>46093</v>
      </c>
      <c r="B476" s="99" t="s">
        <v>67</v>
      </c>
      <c r="C476" s="100" t="s">
        <v>153</v>
      </c>
      <c r="D476" s="99" t="n">
        <v>2</v>
      </c>
      <c r="E476" s="101" t="s">
        <v>187</v>
      </c>
      <c r="F476" s="100"/>
    </row>
    <row r="477" customFormat="false" ht="15" hidden="false" customHeight="true" outlineLevel="0" collapsed="false">
      <c r="A477" s="98" t="n">
        <v>46093</v>
      </c>
      <c r="B477" s="99" t="s">
        <v>68</v>
      </c>
      <c r="C477" s="100" t="s">
        <v>156</v>
      </c>
      <c r="D477" s="99" t="n">
        <v>7</v>
      </c>
      <c r="E477" s="101" t="s">
        <v>188</v>
      </c>
      <c r="F477" s="100"/>
    </row>
    <row r="478" customFormat="false" ht="15" hidden="false" customHeight="true" outlineLevel="0" collapsed="false">
      <c r="A478" s="98" t="n">
        <v>46093</v>
      </c>
      <c r="B478" s="99" t="s">
        <v>69</v>
      </c>
      <c r="C478" s="100" t="s">
        <v>159</v>
      </c>
      <c r="D478" s="99" t="n">
        <v>1</v>
      </c>
      <c r="E478" s="101" t="s">
        <v>189</v>
      </c>
      <c r="F478" s="100"/>
    </row>
    <row r="479" customFormat="false" ht="15" hidden="false" customHeight="true" outlineLevel="0" collapsed="false">
      <c r="A479" s="98" t="n">
        <v>46093</v>
      </c>
      <c r="B479" s="99" t="s">
        <v>70</v>
      </c>
      <c r="C479" s="100" t="s">
        <v>162</v>
      </c>
      <c r="D479" s="99" t="n">
        <v>11</v>
      </c>
      <c r="E479" s="101" t="s">
        <v>185</v>
      </c>
      <c r="F479" s="100"/>
    </row>
    <row r="480" customFormat="false" ht="15" hidden="false" customHeight="true" outlineLevel="0" collapsed="false">
      <c r="A480" s="98" t="n">
        <v>46093</v>
      </c>
      <c r="B480" s="99" t="s">
        <v>71</v>
      </c>
      <c r="C480" s="100" t="s">
        <v>163</v>
      </c>
      <c r="D480" s="99" t="n">
        <v>0</v>
      </c>
      <c r="E480" s="101" t="s">
        <v>186</v>
      </c>
      <c r="F480" s="100"/>
    </row>
    <row r="481" customFormat="false" ht="15" hidden="false" customHeight="true" outlineLevel="0" collapsed="false">
      <c r="A481" s="98" t="n">
        <v>46093</v>
      </c>
      <c r="B481" s="99" t="s">
        <v>72</v>
      </c>
      <c r="C481" s="100" t="s">
        <v>166</v>
      </c>
      <c r="D481" s="99" t="n">
        <v>3</v>
      </c>
      <c r="E481" s="101" t="s">
        <v>187</v>
      </c>
      <c r="F481" s="100"/>
    </row>
    <row r="482" customFormat="false" ht="15" hidden="false" customHeight="true" outlineLevel="0" collapsed="false">
      <c r="A482" s="98" t="n">
        <v>46093</v>
      </c>
      <c r="B482" s="99" t="s">
        <v>73</v>
      </c>
      <c r="C482" s="100" t="s">
        <v>169</v>
      </c>
      <c r="D482" s="99" t="n">
        <v>1</v>
      </c>
      <c r="E482" s="101" t="s">
        <v>188</v>
      </c>
      <c r="F482" s="100"/>
    </row>
    <row r="483" customFormat="false" ht="15" hidden="false" customHeight="true" outlineLevel="0" collapsed="false">
      <c r="A483" s="98" t="n">
        <v>46094</v>
      </c>
      <c r="B483" s="99" t="s">
        <v>66</v>
      </c>
      <c r="C483" s="100" t="s">
        <v>149</v>
      </c>
      <c r="D483" s="99" t="n">
        <v>6</v>
      </c>
      <c r="E483" s="101" t="s">
        <v>185</v>
      </c>
      <c r="F483" s="100"/>
    </row>
    <row r="484" customFormat="false" ht="15" hidden="false" customHeight="true" outlineLevel="0" collapsed="false">
      <c r="A484" s="98" t="n">
        <v>46094</v>
      </c>
      <c r="B484" s="99" t="s">
        <v>67</v>
      </c>
      <c r="C484" s="100" t="s">
        <v>153</v>
      </c>
      <c r="D484" s="99" t="n">
        <v>4</v>
      </c>
      <c r="E484" s="101" t="s">
        <v>186</v>
      </c>
      <c r="F484" s="100"/>
    </row>
    <row r="485" customFormat="false" ht="15" hidden="false" customHeight="true" outlineLevel="0" collapsed="false">
      <c r="A485" s="98" t="n">
        <v>46094</v>
      </c>
      <c r="B485" s="99" t="s">
        <v>68</v>
      </c>
      <c r="C485" s="100" t="s">
        <v>156</v>
      </c>
      <c r="D485" s="99" t="n">
        <v>9</v>
      </c>
      <c r="E485" s="101" t="s">
        <v>187</v>
      </c>
      <c r="F485" s="100"/>
    </row>
    <row r="486" customFormat="false" ht="15" hidden="false" customHeight="true" outlineLevel="0" collapsed="false">
      <c r="A486" s="98" t="n">
        <v>46094</v>
      </c>
      <c r="B486" s="99" t="s">
        <v>69</v>
      </c>
      <c r="C486" s="100" t="s">
        <v>159</v>
      </c>
      <c r="D486" s="99" t="n">
        <v>3</v>
      </c>
      <c r="E486" s="101" t="s">
        <v>188</v>
      </c>
      <c r="F486" s="100"/>
    </row>
    <row r="487" customFormat="false" ht="15" hidden="false" customHeight="true" outlineLevel="0" collapsed="false">
      <c r="A487" s="98" t="n">
        <v>46094</v>
      </c>
      <c r="B487" s="99" t="s">
        <v>70</v>
      </c>
      <c r="C487" s="100" t="s">
        <v>162</v>
      </c>
      <c r="D487" s="99" t="n">
        <v>13</v>
      </c>
      <c r="E487" s="101" t="s">
        <v>189</v>
      </c>
      <c r="F487" s="100"/>
    </row>
    <row r="488" customFormat="false" ht="15" hidden="false" customHeight="true" outlineLevel="0" collapsed="false">
      <c r="A488" s="98" t="n">
        <v>46094</v>
      </c>
      <c r="B488" s="99" t="s">
        <v>71</v>
      </c>
      <c r="C488" s="100" t="s">
        <v>163</v>
      </c>
      <c r="D488" s="99" t="n">
        <v>2</v>
      </c>
      <c r="E488" s="101" t="s">
        <v>185</v>
      </c>
      <c r="F488" s="100"/>
    </row>
    <row r="489" customFormat="false" ht="15" hidden="false" customHeight="true" outlineLevel="0" collapsed="false">
      <c r="A489" s="98" t="n">
        <v>46094</v>
      </c>
      <c r="B489" s="99" t="s">
        <v>72</v>
      </c>
      <c r="C489" s="100" t="s">
        <v>166</v>
      </c>
      <c r="D489" s="99" t="n">
        <v>5</v>
      </c>
      <c r="E489" s="101" t="s">
        <v>186</v>
      </c>
      <c r="F489" s="100"/>
    </row>
    <row r="490" customFormat="false" ht="15" hidden="false" customHeight="true" outlineLevel="0" collapsed="false">
      <c r="A490" s="98" t="n">
        <v>46094</v>
      </c>
      <c r="B490" s="99" t="s">
        <v>73</v>
      </c>
      <c r="C490" s="100" t="s">
        <v>169</v>
      </c>
      <c r="D490" s="99" t="n">
        <v>3</v>
      </c>
      <c r="E490" s="101" t="s">
        <v>187</v>
      </c>
      <c r="F490" s="100"/>
    </row>
    <row r="491" customFormat="false" ht="15" hidden="false" customHeight="true" outlineLevel="0" collapsed="false">
      <c r="A491" s="98" t="n">
        <v>46095</v>
      </c>
      <c r="B491" s="99" t="s">
        <v>66</v>
      </c>
      <c r="C491" s="100" t="s">
        <v>149</v>
      </c>
      <c r="D491" s="99" t="n">
        <v>5</v>
      </c>
      <c r="E491" s="101" t="s">
        <v>189</v>
      </c>
      <c r="F491" s="100"/>
    </row>
    <row r="492" customFormat="false" ht="15" hidden="false" customHeight="true" outlineLevel="0" collapsed="false">
      <c r="A492" s="98" t="n">
        <v>46095</v>
      </c>
      <c r="B492" s="99" t="s">
        <v>67</v>
      </c>
      <c r="C492" s="100" t="s">
        <v>153</v>
      </c>
      <c r="D492" s="99" t="n">
        <v>3</v>
      </c>
      <c r="E492" s="101" t="s">
        <v>185</v>
      </c>
      <c r="F492" s="100"/>
    </row>
    <row r="493" customFormat="false" ht="15" hidden="false" customHeight="true" outlineLevel="0" collapsed="false">
      <c r="A493" s="98" t="n">
        <v>46095</v>
      </c>
      <c r="B493" s="99" t="s">
        <v>68</v>
      </c>
      <c r="C493" s="100" t="s">
        <v>156</v>
      </c>
      <c r="D493" s="99" t="n">
        <v>8</v>
      </c>
      <c r="E493" s="101" t="s">
        <v>186</v>
      </c>
      <c r="F493" s="100"/>
    </row>
    <row r="494" customFormat="false" ht="15" hidden="false" customHeight="true" outlineLevel="0" collapsed="false">
      <c r="A494" s="98" t="n">
        <v>46095</v>
      </c>
      <c r="B494" s="99" t="s">
        <v>69</v>
      </c>
      <c r="C494" s="100" t="s">
        <v>159</v>
      </c>
      <c r="D494" s="99" t="n">
        <v>2</v>
      </c>
      <c r="E494" s="101" t="s">
        <v>187</v>
      </c>
      <c r="F494" s="100"/>
    </row>
    <row r="495" customFormat="false" ht="15" hidden="false" customHeight="true" outlineLevel="0" collapsed="false">
      <c r="A495" s="98" t="n">
        <v>46095</v>
      </c>
      <c r="B495" s="99" t="s">
        <v>70</v>
      </c>
      <c r="C495" s="100" t="s">
        <v>162</v>
      </c>
      <c r="D495" s="99" t="n">
        <v>12</v>
      </c>
      <c r="E495" s="101" t="s">
        <v>188</v>
      </c>
      <c r="F495" s="100"/>
    </row>
    <row r="496" customFormat="false" ht="15" hidden="false" customHeight="true" outlineLevel="0" collapsed="false">
      <c r="A496" s="98" t="n">
        <v>46095</v>
      </c>
      <c r="B496" s="99" t="s">
        <v>71</v>
      </c>
      <c r="C496" s="100" t="s">
        <v>163</v>
      </c>
      <c r="D496" s="99" t="n">
        <v>1</v>
      </c>
      <c r="E496" s="101" t="s">
        <v>189</v>
      </c>
      <c r="F496" s="100"/>
    </row>
    <row r="497" customFormat="false" ht="15" hidden="false" customHeight="true" outlineLevel="0" collapsed="false">
      <c r="A497" s="98" t="n">
        <v>46095</v>
      </c>
      <c r="B497" s="99" t="s">
        <v>72</v>
      </c>
      <c r="C497" s="100" t="s">
        <v>166</v>
      </c>
      <c r="D497" s="99" t="n">
        <v>4</v>
      </c>
      <c r="E497" s="101" t="s">
        <v>185</v>
      </c>
      <c r="F497" s="100"/>
    </row>
    <row r="498" customFormat="false" ht="15" hidden="false" customHeight="true" outlineLevel="0" collapsed="false">
      <c r="A498" s="98" t="n">
        <v>46095</v>
      </c>
      <c r="B498" s="99" t="s">
        <v>73</v>
      </c>
      <c r="C498" s="100" t="s">
        <v>169</v>
      </c>
      <c r="D498" s="99" t="n">
        <v>2</v>
      </c>
      <c r="E498" s="101" t="s">
        <v>186</v>
      </c>
      <c r="F498" s="100"/>
    </row>
    <row r="499" customFormat="false" ht="15" hidden="false" customHeight="true" outlineLevel="0" collapsed="false">
      <c r="A499" s="98" t="n">
        <v>46096</v>
      </c>
      <c r="B499" s="99" t="s">
        <v>66</v>
      </c>
      <c r="C499" s="100" t="s">
        <v>149</v>
      </c>
      <c r="D499" s="99" t="n">
        <v>4</v>
      </c>
      <c r="E499" s="101" t="s">
        <v>188</v>
      </c>
      <c r="F499" s="100"/>
    </row>
    <row r="500" customFormat="false" ht="15" hidden="false" customHeight="true" outlineLevel="0" collapsed="false">
      <c r="A500" s="98" t="n">
        <v>46096</v>
      </c>
      <c r="B500" s="99" t="s">
        <v>67</v>
      </c>
      <c r="C500" s="100" t="s">
        <v>153</v>
      </c>
      <c r="D500" s="99" t="n">
        <v>2</v>
      </c>
      <c r="E500" s="101" t="s">
        <v>189</v>
      </c>
      <c r="F500" s="100"/>
    </row>
    <row r="501" customFormat="false" ht="15" hidden="false" customHeight="true" outlineLevel="0" collapsed="false">
      <c r="A501" s="98" t="n">
        <v>46096</v>
      </c>
      <c r="B501" s="99" t="s">
        <v>68</v>
      </c>
      <c r="C501" s="100" t="s">
        <v>156</v>
      </c>
      <c r="D501" s="99" t="n">
        <v>7</v>
      </c>
      <c r="E501" s="101" t="s">
        <v>185</v>
      </c>
      <c r="F501" s="100"/>
    </row>
    <row r="502" customFormat="false" ht="15" hidden="false" customHeight="true" outlineLevel="0" collapsed="false">
      <c r="A502" s="98" t="n">
        <v>46096</v>
      </c>
      <c r="B502" s="99" t="s">
        <v>69</v>
      </c>
      <c r="C502" s="100" t="s">
        <v>159</v>
      </c>
      <c r="D502" s="99" t="n">
        <v>1</v>
      </c>
      <c r="E502" s="101" t="s">
        <v>186</v>
      </c>
      <c r="F502" s="100"/>
    </row>
    <row r="503" customFormat="false" ht="15" hidden="false" customHeight="true" outlineLevel="0" collapsed="false">
      <c r="A503" s="98" t="n">
        <v>46096</v>
      </c>
      <c r="B503" s="99" t="s">
        <v>70</v>
      </c>
      <c r="C503" s="100" t="s">
        <v>162</v>
      </c>
      <c r="D503" s="99" t="n">
        <v>11</v>
      </c>
      <c r="E503" s="101" t="s">
        <v>187</v>
      </c>
      <c r="F503" s="100"/>
    </row>
    <row r="504" customFormat="false" ht="15" hidden="false" customHeight="true" outlineLevel="0" collapsed="false">
      <c r="A504" s="98" t="n">
        <v>46096</v>
      </c>
      <c r="B504" s="99" t="s">
        <v>71</v>
      </c>
      <c r="C504" s="100" t="s">
        <v>163</v>
      </c>
      <c r="D504" s="99" t="n">
        <v>0</v>
      </c>
      <c r="E504" s="101" t="s">
        <v>188</v>
      </c>
      <c r="F504" s="100"/>
    </row>
    <row r="505" customFormat="false" ht="15" hidden="false" customHeight="true" outlineLevel="0" collapsed="false">
      <c r="A505" s="98" t="n">
        <v>46096</v>
      </c>
      <c r="B505" s="99" t="s">
        <v>72</v>
      </c>
      <c r="C505" s="100" t="s">
        <v>166</v>
      </c>
      <c r="D505" s="99" t="n">
        <v>3</v>
      </c>
      <c r="E505" s="101" t="s">
        <v>189</v>
      </c>
      <c r="F505" s="100"/>
    </row>
    <row r="506" customFormat="false" ht="15" hidden="false" customHeight="true" outlineLevel="0" collapsed="false">
      <c r="A506" s="98" t="n">
        <v>46096</v>
      </c>
      <c r="B506" s="99" t="s">
        <v>73</v>
      </c>
      <c r="C506" s="100" t="s">
        <v>169</v>
      </c>
      <c r="D506" s="99" t="n">
        <v>1</v>
      </c>
      <c r="E506" s="101" t="s">
        <v>185</v>
      </c>
      <c r="F506" s="100"/>
    </row>
    <row r="507" customFormat="false" ht="15" hidden="false" customHeight="true" outlineLevel="0" collapsed="false">
      <c r="A507" s="98" t="n">
        <v>46097</v>
      </c>
      <c r="B507" s="99" t="s">
        <v>66</v>
      </c>
      <c r="C507" s="100" t="s">
        <v>149</v>
      </c>
      <c r="D507" s="99" t="n">
        <v>6</v>
      </c>
      <c r="E507" s="101" t="s">
        <v>187</v>
      </c>
      <c r="F507" s="100"/>
    </row>
    <row r="508" customFormat="false" ht="15" hidden="false" customHeight="true" outlineLevel="0" collapsed="false">
      <c r="A508" s="98" t="n">
        <v>46097</v>
      </c>
      <c r="B508" s="99" t="s">
        <v>67</v>
      </c>
      <c r="C508" s="100" t="s">
        <v>153</v>
      </c>
      <c r="D508" s="99" t="n">
        <v>4</v>
      </c>
      <c r="E508" s="101" t="s">
        <v>188</v>
      </c>
      <c r="F508" s="100"/>
    </row>
    <row r="509" customFormat="false" ht="15" hidden="false" customHeight="true" outlineLevel="0" collapsed="false">
      <c r="A509" s="98" t="n">
        <v>46097</v>
      </c>
      <c r="B509" s="99" t="s">
        <v>68</v>
      </c>
      <c r="C509" s="100" t="s">
        <v>156</v>
      </c>
      <c r="D509" s="99" t="n">
        <v>9</v>
      </c>
      <c r="E509" s="101" t="s">
        <v>189</v>
      </c>
      <c r="F509" s="100"/>
    </row>
    <row r="510" customFormat="false" ht="15" hidden="false" customHeight="true" outlineLevel="0" collapsed="false">
      <c r="A510" s="98" t="n">
        <v>46097</v>
      </c>
      <c r="B510" s="99" t="s">
        <v>69</v>
      </c>
      <c r="C510" s="100" t="s">
        <v>159</v>
      </c>
      <c r="D510" s="99" t="n">
        <v>3</v>
      </c>
      <c r="E510" s="101" t="s">
        <v>185</v>
      </c>
      <c r="F510" s="100"/>
    </row>
    <row r="511" customFormat="false" ht="15" hidden="false" customHeight="true" outlineLevel="0" collapsed="false">
      <c r="A511" s="98" t="n">
        <v>46097</v>
      </c>
      <c r="B511" s="99" t="s">
        <v>70</v>
      </c>
      <c r="C511" s="100" t="s">
        <v>162</v>
      </c>
      <c r="D511" s="99" t="n">
        <v>13</v>
      </c>
      <c r="E511" s="101" t="s">
        <v>186</v>
      </c>
      <c r="F511" s="100"/>
    </row>
    <row r="512" customFormat="false" ht="15" hidden="false" customHeight="true" outlineLevel="0" collapsed="false">
      <c r="A512" s="98" t="n">
        <v>46097</v>
      </c>
      <c r="B512" s="99" t="s">
        <v>71</v>
      </c>
      <c r="C512" s="100" t="s">
        <v>163</v>
      </c>
      <c r="D512" s="99" t="n">
        <v>2</v>
      </c>
      <c r="E512" s="101" t="s">
        <v>187</v>
      </c>
      <c r="F512" s="100"/>
    </row>
    <row r="513" customFormat="false" ht="15" hidden="false" customHeight="true" outlineLevel="0" collapsed="false">
      <c r="A513" s="98" t="n">
        <v>46097</v>
      </c>
      <c r="B513" s="99" t="s">
        <v>72</v>
      </c>
      <c r="C513" s="100" t="s">
        <v>166</v>
      </c>
      <c r="D513" s="99" t="n">
        <v>5</v>
      </c>
      <c r="E513" s="101" t="s">
        <v>188</v>
      </c>
      <c r="F513" s="100"/>
    </row>
    <row r="514" customFormat="false" ht="15" hidden="false" customHeight="true" outlineLevel="0" collapsed="false">
      <c r="A514" s="98" t="n">
        <v>46097</v>
      </c>
      <c r="B514" s="99" t="s">
        <v>73</v>
      </c>
      <c r="C514" s="100" t="s">
        <v>169</v>
      </c>
      <c r="D514" s="99" t="n">
        <v>3</v>
      </c>
      <c r="E514" s="101" t="s">
        <v>189</v>
      </c>
      <c r="F514" s="100"/>
    </row>
    <row r="515" customFormat="false" ht="15" hidden="false" customHeight="true" outlineLevel="0" collapsed="false">
      <c r="A515" s="98" t="n">
        <v>46098</v>
      </c>
      <c r="B515" s="99" t="s">
        <v>66</v>
      </c>
      <c r="C515" s="100" t="s">
        <v>149</v>
      </c>
      <c r="D515" s="99" t="n">
        <v>5</v>
      </c>
      <c r="E515" s="101" t="s">
        <v>186</v>
      </c>
      <c r="F515" s="100"/>
    </row>
    <row r="516" customFormat="false" ht="15" hidden="false" customHeight="true" outlineLevel="0" collapsed="false">
      <c r="A516" s="98" t="n">
        <v>46098</v>
      </c>
      <c r="B516" s="99" t="s">
        <v>67</v>
      </c>
      <c r="C516" s="100" t="s">
        <v>153</v>
      </c>
      <c r="D516" s="99" t="n">
        <v>3</v>
      </c>
      <c r="E516" s="101" t="s">
        <v>187</v>
      </c>
      <c r="F516" s="100"/>
    </row>
    <row r="517" customFormat="false" ht="15" hidden="false" customHeight="true" outlineLevel="0" collapsed="false">
      <c r="A517" s="98" t="n">
        <v>46098</v>
      </c>
      <c r="B517" s="99" t="s">
        <v>68</v>
      </c>
      <c r="C517" s="100" t="s">
        <v>156</v>
      </c>
      <c r="D517" s="99" t="n">
        <v>8</v>
      </c>
      <c r="E517" s="101" t="s">
        <v>188</v>
      </c>
      <c r="F517" s="100"/>
    </row>
    <row r="518" customFormat="false" ht="15" hidden="false" customHeight="true" outlineLevel="0" collapsed="false">
      <c r="A518" s="98" t="n">
        <v>46098</v>
      </c>
      <c r="B518" s="99" t="s">
        <v>69</v>
      </c>
      <c r="C518" s="100" t="s">
        <v>159</v>
      </c>
      <c r="D518" s="99" t="n">
        <v>2</v>
      </c>
      <c r="E518" s="101" t="s">
        <v>189</v>
      </c>
      <c r="F518" s="100"/>
    </row>
    <row r="519" customFormat="false" ht="15" hidden="false" customHeight="true" outlineLevel="0" collapsed="false">
      <c r="A519" s="98" t="n">
        <v>46098</v>
      </c>
      <c r="B519" s="99" t="s">
        <v>70</v>
      </c>
      <c r="C519" s="100" t="s">
        <v>162</v>
      </c>
      <c r="D519" s="99" t="n">
        <v>12</v>
      </c>
      <c r="E519" s="101" t="s">
        <v>185</v>
      </c>
      <c r="F519" s="100"/>
    </row>
    <row r="520" customFormat="false" ht="15" hidden="false" customHeight="true" outlineLevel="0" collapsed="false">
      <c r="A520" s="98" t="n">
        <v>46098</v>
      </c>
      <c r="B520" s="99" t="s">
        <v>71</v>
      </c>
      <c r="C520" s="100" t="s">
        <v>163</v>
      </c>
      <c r="D520" s="99" t="n">
        <v>1</v>
      </c>
      <c r="E520" s="101" t="s">
        <v>186</v>
      </c>
      <c r="F520" s="100"/>
    </row>
    <row r="521" customFormat="false" ht="15" hidden="false" customHeight="true" outlineLevel="0" collapsed="false">
      <c r="A521" s="98" t="n">
        <v>46098</v>
      </c>
      <c r="B521" s="99" t="s">
        <v>72</v>
      </c>
      <c r="C521" s="100" t="s">
        <v>166</v>
      </c>
      <c r="D521" s="99" t="n">
        <v>4</v>
      </c>
      <c r="E521" s="101" t="s">
        <v>187</v>
      </c>
      <c r="F521" s="100"/>
    </row>
    <row r="522" customFormat="false" ht="15" hidden="false" customHeight="true" outlineLevel="0" collapsed="false">
      <c r="A522" s="98" t="n">
        <v>46098</v>
      </c>
      <c r="B522" s="99" t="s">
        <v>73</v>
      </c>
      <c r="C522" s="100" t="s">
        <v>169</v>
      </c>
      <c r="D522" s="99" t="n">
        <v>2</v>
      </c>
      <c r="E522" s="101" t="s">
        <v>188</v>
      </c>
      <c r="F522" s="100"/>
    </row>
    <row r="523" customFormat="false" ht="15" hidden="false" customHeight="true" outlineLevel="0" collapsed="false">
      <c r="A523" s="98" t="n">
        <v>46099</v>
      </c>
      <c r="B523" s="99" t="s">
        <v>66</v>
      </c>
      <c r="C523" s="100" t="s">
        <v>149</v>
      </c>
      <c r="D523" s="99" t="n">
        <v>4</v>
      </c>
      <c r="E523" s="101" t="s">
        <v>185</v>
      </c>
      <c r="F523" s="100"/>
    </row>
    <row r="524" customFormat="false" ht="15" hidden="false" customHeight="true" outlineLevel="0" collapsed="false">
      <c r="A524" s="98" t="n">
        <v>46099</v>
      </c>
      <c r="B524" s="99" t="s">
        <v>67</v>
      </c>
      <c r="C524" s="100" t="s">
        <v>153</v>
      </c>
      <c r="D524" s="99" t="n">
        <v>2</v>
      </c>
      <c r="E524" s="101" t="s">
        <v>186</v>
      </c>
      <c r="F524" s="100"/>
    </row>
    <row r="525" customFormat="false" ht="15" hidden="false" customHeight="true" outlineLevel="0" collapsed="false">
      <c r="A525" s="98" t="n">
        <v>46099</v>
      </c>
      <c r="B525" s="99" t="s">
        <v>68</v>
      </c>
      <c r="C525" s="100" t="s">
        <v>156</v>
      </c>
      <c r="D525" s="99" t="n">
        <v>7</v>
      </c>
      <c r="E525" s="101" t="s">
        <v>187</v>
      </c>
      <c r="F525" s="100"/>
    </row>
    <row r="526" customFormat="false" ht="15" hidden="false" customHeight="true" outlineLevel="0" collapsed="false">
      <c r="A526" s="98" t="n">
        <v>46099</v>
      </c>
      <c r="B526" s="99" t="s">
        <v>69</v>
      </c>
      <c r="C526" s="100" t="s">
        <v>159</v>
      </c>
      <c r="D526" s="99" t="n">
        <v>1</v>
      </c>
      <c r="E526" s="101" t="s">
        <v>188</v>
      </c>
      <c r="F526" s="100"/>
    </row>
    <row r="527" customFormat="false" ht="15" hidden="false" customHeight="true" outlineLevel="0" collapsed="false">
      <c r="A527" s="98" t="n">
        <v>46099</v>
      </c>
      <c r="B527" s="99" t="s">
        <v>70</v>
      </c>
      <c r="C527" s="100" t="s">
        <v>162</v>
      </c>
      <c r="D527" s="99" t="n">
        <v>11</v>
      </c>
      <c r="E527" s="101" t="s">
        <v>189</v>
      </c>
      <c r="F527" s="100"/>
    </row>
    <row r="528" customFormat="false" ht="15" hidden="false" customHeight="true" outlineLevel="0" collapsed="false">
      <c r="A528" s="98" t="n">
        <v>46099</v>
      </c>
      <c r="B528" s="99" t="s">
        <v>71</v>
      </c>
      <c r="C528" s="100" t="s">
        <v>163</v>
      </c>
      <c r="D528" s="99" t="n">
        <v>0</v>
      </c>
      <c r="E528" s="101" t="s">
        <v>185</v>
      </c>
      <c r="F528" s="100"/>
    </row>
    <row r="529" customFormat="false" ht="15" hidden="false" customHeight="true" outlineLevel="0" collapsed="false">
      <c r="A529" s="98" t="n">
        <v>46099</v>
      </c>
      <c r="B529" s="99" t="s">
        <v>72</v>
      </c>
      <c r="C529" s="100" t="s">
        <v>166</v>
      </c>
      <c r="D529" s="99" t="n">
        <v>3</v>
      </c>
      <c r="E529" s="101" t="s">
        <v>186</v>
      </c>
      <c r="F529" s="100"/>
    </row>
    <row r="530" customFormat="false" ht="15" hidden="false" customHeight="true" outlineLevel="0" collapsed="false">
      <c r="A530" s="98" t="n">
        <v>46099</v>
      </c>
      <c r="B530" s="99" t="s">
        <v>73</v>
      </c>
      <c r="C530" s="100" t="s">
        <v>169</v>
      </c>
      <c r="D530" s="99" t="n">
        <v>1</v>
      </c>
      <c r="E530" s="101" t="s">
        <v>187</v>
      </c>
      <c r="F530" s="100"/>
    </row>
    <row r="531" customFormat="false" ht="15" hidden="false" customHeight="true" outlineLevel="0" collapsed="false">
      <c r="A531" s="98" t="n">
        <v>46100</v>
      </c>
      <c r="B531" s="99" t="s">
        <v>66</v>
      </c>
      <c r="C531" s="100" t="s">
        <v>149</v>
      </c>
      <c r="D531" s="99" t="n">
        <v>6</v>
      </c>
      <c r="E531" s="101" t="s">
        <v>189</v>
      </c>
      <c r="F531" s="100"/>
    </row>
    <row r="532" customFormat="false" ht="15" hidden="false" customHeight="true" outlineLevel="0" collapsed="false">
      <c r="A532" s="98" t="n">
        <v>46100</v>
      </c>
      <c r="B532" s="99" t="s">
        <v>67</v>
      </c>
      <c r="C532" s="100" t="s">
        <v>153</v>
      </c>
      <c r="D532" s="99" t="n">
        <v>4</v>
      </c>
      <c r="E532" s="101" t="s">
        <v>185</v>
      </c>
      <c r="F532" s="100"/>
    </row>
    <row r="533" customFormat="false" ht="15" hidden="false" customHeight="true" outlineLevel="0" collapsed="false">
      <c r="A533" s="98" t="n">
        <v>46100</v>
      </c>
      <c r="B533" s="99" t="s">
        <v>68</v>
      </c>
      <c r="C533" s="100" t="s">
        <v>156</v>
      </c>
      <c r="D533" s="99" t="n">
        <v>9</v>
      </c>
      <c r="E533" s="101" t="s">
        <v>186</v>
      </c>
      <c r="F533" s="100"/>
    </row>
    <row r="534" customFormat="false" ht="15" hidden="false" customHeight="true" outlineLevel="0" collapsed="false">
      <c r="A534" s="98" t="n">
        <v>46100</v>
      </c>
      <c r="B534" s="99" t="s">
        <v>69</v>
      </c>
      <c r="C534" s="100" t="s">
        <v>159</v>
      </c>
      <c r="D534" s="99" t="n">
        <v>3</v>
      </c>
      <c r="E534" s="101" t="s">
        <v>187</v>
      </c>
      <c r="F534" s="100"/>
    </row>
    <row r="535" customFormat="false" ht="15" hidden="false" customHeight="true" outlineLevel="0" collapsed="false">
      <c r="A535" s="98" t="n">
        <v>46100</v>
      </c>
      <c r="B535" s="99" t="s">
        <v>70</v>
      </c>
      <c r="C535" s="100" t="s">
        <v>162</v>
      </c>
      <c r="D535" s="99" t="n">
        <v>13</v>
      </c>
      <c r="E535" s="101" t="s">
        <v>188</v>
      </c>
      <c r="F535" s="100"/>
    </row>
    <row r="536" customFormat="false" ht="15" hidden="false" customHeight="true" outlineLevel="0" collapsed="false">
      <c r="A536" s="98" t="n">
        <v>46100</v>
      </c>
      <c r="B536" s="99" t="s">
        <v>71</v>
      </c>
      <c r="C536" s="100" t="s">
        <v>163</v>
      </c>
      <c r="D536" s="99" t="n">
        <v>2</v>
      </c>
      <c r="E536" s="101" t="s">
        <v>189</v>
      </c>
      <c r="F536" s="100"/>
    </row>
    <row r="537" customFormat="false" ht="15" hidden="false" customHeight="true" outlineLevel="0" collapsed="false">
      <c r="A537" s="98" t="n">
        <v>46100</v>
      </c>
      <c r="B537" s="99" t="s">
        <v>72</v>
      </c>
      <c r="C537" s="100" t="s">
        <v>166</v>
      </c>
      <c r="D537" s="99" t="n">
        <v>5</v>
      </c>
      <c r="E537" s="101" t="s">
        <v>185</v>
      </c>
      <c r="F537" s="100"/>
    </row>
    <row r="538" customFormat="false" ht="15" hidden="false" customHeight="true" outlineLevel="0" collapsed="false">
      <c r="A538" s="98" t="n">
        <v>46100</v>
      </c>
      <c r="B538" s="99" t="s">
        <v>73</v>
      </c>
      <c r="C538" s="100" t="s">
        <v>169</v>
      </c>
      <c r="D538" s="99" t="n">
        <v>3</v>
      </c>
      <c r="E538" s="101" t="s">
        <v>186</v>
      </c>
      <c r="F538" s="100"/>
    </row>
    <row r="539" customFormat="false" ht="15" hidden="false" customHeight="true" outlineLevel="0" collapsed="false">
      <c r="A539" s="98" t="n">
        <v>46101</v>
      </c>
      <c r="B539" s="99" t="s">
        <v>66</v>
      </c>
      <c r="C539" s="100" t="s">
        <v>149</v>
      </c>
      <c r="D539" s="99" t="n">
        <v>5</v>
      </c>
      <c r="E539" s="101" t="s">
        <v>188</v>
      </c>
      <c r="F539" s="100"/>
    </row>
    <row r="540" customFormat="false" ht="15" hidden="false" customHeight="true" outlineLevel="0" collapsed="false">
      <c r="A540" s="98" t="n">
        <v>46101</v>
      </c>
      <c r="B540" s="99" t="s">
        <v>67</v>
      </c>
      <c r="C540" s="100" t="s">
        <v>153</v>
      </c>
      <c r="D540" s="99" t="n">
        <v>3</v>
      </c>
      <c r="E540" s="101" t="s">
        <v>189</v>
      </c>
      <c r="F540" s="100"/>
    </row>
    <row r="541" customFormat="false" ht="15" hidden="false" customHeight="true" outlineLevel="0" collapsed="false">
      <c r="A541" s="98" t="n">
        <v>46101</v>
      </c>
      <c r="B541" s="99" t="s">
        <v>68</v>
      </c>
      <c r="C541" s="100" t="s">
        <v>156</v>
      </c>
      <c r="D541" s="99" t="n">
        <v>8</v>
      </c>
      <c r="E541" s="101" t="s">
        <v>185</v>
      </c>
      <c r="F541" s="100"/>
    </row>
    <row r="542" customFormat="false" ht="15" hidden="false" customHeight="true" outlineLevel="0" collapsed="false">
      <c r="A542" s="98" t="n">
        <v>46101</v>
      </c>
      <c r="B542" s="99" t="s">
        <v>69</v>
      </c>
      <c r="C542" s="100" t="s">
        <v>159</v>
      </c>
      <c r="D542" s="99" t="n">
        <v>2</v>
      </c>
      <c r="E542" s="101" t="s">
        <v>186</v>
      </c>
      <c r="F542" s="100"/>
    </row>
    <row r="543" customFormat="false" ht="15" hidden="false" customHeight="true" outlineLevel="0" collapsed="false">
      <c r="A543" s="98" t="n">
        <v>46101</v>
      </c>
      <c r="B543" s="99" t="s">
        <v>70</v>
      </c>
      <c r="C543" s="100" t="s">
        <v>162</v>
      </c>
      <c r="D543" s="99" t="n">
        <v>12</v>
      </c>
      <c r="E543" s="101" t="s">
        <v>187</v>
      </c>
      <c r="F543" s="100"/>
    </row>
    <row r="544" customFormat="false" ht="15" hidden="false" customHeight="true" outlineLevel="0" collapsed="false">
      <c r="A544" s="98" t="n">
        <v>46101</v>
      </c>
      <c r="B544" s="99" t="s">
        <v>71</v>
      </c>
      <c r="C544" s="100" t="s">
        <v>163</v>
      </c>
      <c r="D544" s="99" t="n">
        <v>1</v>
      </c>
      <c r="E544" s="101" t="s">
        <v>188</v>
      </c>
      <c r="F544" s="100"/>
    </row>
    <row r="545" customFormat="false" ht="15" hidden="false" customHeight="true" outlineLevel="0" collapsed="false">
      <c r="A545" s="98" t="n">
        <v>46101</v>
      </c>
      <c r="B545" s="99" t="s">
        <v>72</v>
      </c>
      <c r="C545" s="100" t="s">
        <v>166</v>
      </c>
      <c r="D545" s="99" t="n">
        <v>4</v>
      </c>
      <c r="E545" s="101" t="s">
        <v>189</v>
      </c>
      <c r="F545" s="100"/>
    </row>
    <row r="546" customFormat="false" ht="15" hidden="false" customHeight="true" outlineLevel="0" collapsed="false">
      <c r="A546" s="98" t="n">
        <v>46101</v>
      </c>
      <c r="B546" s="99" t="s">
        <v>73</v>
      </c>
      <c r="C546" s="100" t="s">
        <v>169</v>
      </c>
      <c r="D546" s="99" t="n">
        <v>2</v>
      </c>
      <c r="E546" s="101" t="s">
        <v>185</v>
      </c>
      <c r="F546" s="100"/>
    </row>
    <row r="547" customFormat="false" ht="15" hidden="false" customHeight="true" outlineLevel="0" collapsed="false">
      <c r="A547" s="98" t="n">
        <v>46102</v>
      </c>
      <c r="B547" s="99" t="s">
        <v>66</v>
      </c>
      <c r="C547" s="100" t="s">
        <v>149</v>
      </c>
      <c r="D547" s="99" t="n">
        <v>4</v>
      </c>
      <c r="E547" s="101" t="s">
        <v>187</v>
      </c>
      <c r="F547" s="100"/>
    </row>
    <row r="548" customFormat="false" ht="15" hidden="false" customHeight="true" outlineLevel="0" collapsed="false">
      <c r="A548" s="98" t="n">
        <v>46102</v>
      </c>
      <c r="B548" s="99" t="s">
        <v>67</v>
      </c>
      <c r="C548" s="100" t="s">
        <v>153</v>
      </c>
      <c r="D548" s="99" t="n">
        <v>2</v>
      </c>
      <c r="E548" s="101" t="s">
        <v>188</v>
      </c>
      <c r="F548" s="100"/>
    </row>
    <row r="549" customFormat="false" ht="15" hidden="false" customHeight="true" outlineLevel="0" collapsed="false">
      <c r="A549" s="98" t="n">
        <v>46102</v>
      </c>
      <c r="B549" s="99" t="s">
        <v>68</v>
      </c>
      <c r="C549" s="100" t="s">
        <v>156</v>
      </c>
      <c r="D549" s="99" t="n">
        <v>7</v>
      </c>
      <c r="E549" s="101" t="s">
        <v>189</v>
      </c>
      <c r="F549" s="100"/>
    </row>
    <row r="550" customFormat="false" ht="15" hidden="false" customHeight="true" outlineLevel="0" collapsed="false">
      <c r="A550" s="98" t="n">
        <v>46102</v>
      </c>
      <c r="B550" s="99" t="s">
        <v>69</v>
      </c>
      <c r="C550" s="100" t="s">
        <v>159</v>
      </c>
      <c r="D550" s="99" t="n">
        <v>1</v>
      </c>
      <c r="E550" s="101" t="s">
        <v>185</v>
      </c>
      <c r="F550" s="100"/>
    </row>
    <row r="551" customFormat="false" ht="15" hidden="false" customHeight="true" outlineLevel="0" collapsed="false">
      <c r="A551" s="98" t="n">
        <v>46102</v>
      </c>
      <c r="B551" s="99" t="s">
        <v>70</v>
      </c>
      <c r="C551" s="100" t="s">
        <v>162</v>
      </c>
      <c r="D551" s="99" t="n">
        <v>11</v>
      </c>
      <c r="E551" s="101" t="s">
        <v>186</v>
      </c>
      <c r="F551" s="100"/>
    </row>
    <row r="552" customFormat="false" ht="15" hidden="false" customHeight="true" outlineLevel="0" collapsed="false">
      <c r="A552" s="98" t="n">
        <v>46102</v>
      </c>
      <c r="B552" s="99" t="s">
        <v>71</v>
      </c>
      <c r="C552" s="100" t="s">
        <v>163</v>
      </c>
      <c r="D552" s="99" t="n">
        <v>0</v>
      </c>
      <c r="E552" s="101" t="s">
        <v>187</v>
      </c>
      <c r="F552" s="100"/>
    </row>
    <row r="553" customFormat="false" ht="15" hidden="false" customHeight="true" outlineLevel="0" collapsed="false">
      <c r="A553" s="98" t="n">
        <v>46102</v>
      </c>
      <c r="B553" s="99" t="s">
        <v>72</v>
      </c>
      <c r="C553" s="100" t="s">
        <v>166</v>
      </c>
      <c r="D553" s="99" t="n">
        <v>3</v>
      </c>
      <c r="E553" s="101" t="s">
        <v>188</v>
      </c>
      <c r="F553" s="100"/>
    </row>
    <row r="554" customFormat="false" ht="15" hidden="false" customHeight="true" outlineLevel="0" collapsed="false">
      <c r="A554" s="98" t="n">
        <v>46102</v>
      </c>
      <c r="B554" s="99" t="s">
        <v>73</v>
      </c>
      <c r="C554" s="100" t="s">
        <v>169</v>
      </c>
      <c r="D554" s="99" t="n">
        <v>1</v>
      </c>
      <c r="E554" s="101" t="s">
        <v>189</v>
      </c>
      <c r="F554" s="100"/>
    </row>
    <row r="555" customFormat="false" ht="15" hidden="false" customHeight="true" outlineLevel="0" collapsed="false">
      <c r="A555" s="98" t="n">
        <v>46103</v>
      </c>
      <c r="B555" s="99" t="s">
        <v>66</v>
      </c>
      <c r="C555" s="100" t="s">
        <v>149</v>
      </c>
      <c r="D555" s="99" t="n">
        <v>6</v>
      </c>
      <c r="E555" s="101" t="s">
        <v>186</v>
      </c>
      <c r="F555" s="100"/>
    </row>
    <row r="556" customFormat="false" ht="15" hidden="false" customHeight="true" outlineLevel="0" collapsed="false">
      <c r="A556" s="98" t="n">
        <v>46103</v>
      </c>
      <c r="B556" s="99" t="s">
        <v>67</v>
      </c>
      <c r="C556" s="100" t="s">
        <v>153</v>
      </c>
      <c r="D556" s="99" t="n">
        <v>4</v>
      </c>
      <c r="E556" s="101" t="s">
        <v>187</v>
      </c>
      <c r="F556" s="100"/>
    </row>
    <row r="557" customFormat="false" ht="15" hidden="false" customHeight="true" outlineLevel="0" collapsed="false">
      <c r="A557" s="98" t="n">
        <v>46103</v>
      </c>
      <c r="B557" s="99" t="s">
        <v>68</v>
      </c>
      <c r="C557" s="100" t="s">
        <v>156</v>
      </c>
      <c r="D557" s="99" t="n">
        <v>9</v>
      </c>
      <c r="E557" s="101" t="s">
        <v>188</v>
      </c>
      <c r="F557" s="100"/>
    </row>
    <row r="558" customFormat="false" ht="15" hidden="false" customHeight="true" outlineLevel="0" collapsed="false">
      <c r="A558" s="98" t="n">
        <v>46103</v>
      </c>
      <c r="B558" s="99" t="s">
        <v>69</v>
      </c>
      <c r="C558" s="100" t="s">
        <v>159</v>
      </c>
      <c r="D558" s="99" t="n">
        <v>3</v>
      </c>
      <c r="E558" s="101" t="s">
        <v>189</v>
      </c>
      <c r="F558" s="100"/>
    </row>
    <row r="559" customFormat="false" ht="15" hidden="false" customHeight="true" outlineLevel="0" collapsed="false">
      <c r="A559" s="98" t="n">
        <v>46103</v>
      </c>
      <c r="B559" s="99" t="s">
        <v>70</v>
      </c>
      <c r="C559" s="100" t="s">
        <v>162</v>
      </c>
      <c r="D559" s="99" t="n">
        <v>13</v>
      </c>
      <c r="E559" s="101" t="s">
        <v>185</v>
      </c>
      <c r="F559" s="100"/>
    </row>
    <row r="560" customFormat="false" ht="15" hidden="false" customHeight="true" outlineLevel="0" collapsed="false">
      <c r="A560" s="98" t="n">
        <v>46103</v>
      </c>
      <c r="B560" s="99" t="s">
        <v>71</v>
      </c>
      <c r="C560" s="100" t="s">
        <v>163</v>
      </c>
      <c r="D560" s="99" t="n">
        <v>2</v>
      </c>
      <c r="E560" s="101" t="s">
        <v>186</v>
      </c>
      <c r="F560" s="100"/>
    </row>
    <row r="561" customFormat="false" ht="15" hidden="false" customHeight="true" outlineLevel="0" collapsed="false">
      <c r="A561" s="98" t="n">
        <v>46103</v>
      </c>
      <c r="B561" s="99" t="s">
        <v>72</v>
      </c>
      <c r="C561" s="100" t="s">
        <v>166</v>
      </c>
      <c r="D561" s="99" t="n">
        <v>5</v>
      </c>
      <c r="E561" s="101" t="s">
        <v>187</v>
      </c>
      <c r="F561" s="100"/>
    </row>
    <row r="562" customFormat="false" ht="15" hidden="false" customHeight="true" outlineLevel="0" collapsed="false">
      <c r="A562" s="98" t="n">
        <v>46103</v>
      </c>
      <c r="B562" s="99" t="s">
        <v>73</v>
      </c>
      <c r="C562" s="100" t="s">
        <v>169</v>
      </c>
      <c r="D562" s="99" t="n">
        <v>3</v>
      </c>
      <c r="E562" s="101" t="s">
        <v>188</v>
      </c>
      <c r="F562" s="100"/>
    </row>
    <row r="563" customFormat="false" ht="15" hidden="false" customHeight="true" outlineLevel="0" collapsed="false">
      <c r="A563" s="98" t="n">
        <v>46104</v>
      </c>
      <c r="B563" s="99" t="s">
        <v>66</v>
      </c>
      <c r="C563" s="100" t="s">
        <v>149</v>
      </c>
      <c r="D563" s="99" t="n">
        <v>5</v>
      </c>
      <c r="E563" s="101" t="s">
        <v>185</v>
      </c>
      <c r="F563" s="100"/>
    </row>
    <row r="564" customFormat="false" ht="15" hidden="false" customHeight="true" outlineLevel="0" collapsed="false">
      <c r="A564" s="98" t="n">
        <v>46104</v>
      </c>
      <c r="B564" s="99" t="s">
        <v>67</v>
      </c>
      <c r="C564" s="100" t="s">
        <v>153</v>
      </c>
      <c r="D564" s="99" t="n">
        <v>3</v>
      </c>
      <c r="E564" s="101" t="s">
        <v>186</v>
      </c>
      <c r="F564" s="100"/>
    </row>
    <row r="565" customFormat="false" ht="15" hidden="false" customHeight="true" outlineLevel="0" collapsed="false">
      <c r="A565" s="98" t="n">
        <v>46104</v>
      </c>
      <c r="B565" s="99" t="s">
        <v>68</v>
      </c>
      <c r="C565" s="100" t="s">
        <v>156</v>
      </c>
      <c r="D565" s="99" t="n">
        <v>8</v>
      </c>
      <c r="E565" s="101" t="s">
        <v>187</v>
      </c>
      <c r="F565" s="100"/>
    </row>
    <row r="566" customFormat="false" ht="15" hidden="false" customHeight="true" outlineLevel="0" collapsed="false">
      <c r="A566" s="98" t="n">
        <v>46104</v>
      </c>
      <c r="B566" s="99" t="s">
        <v>69</v>
      </c>
      <c r="C566" s="100" t="s">
        <v>159</v>
      </c>
      <c r="D566" s="99" t="n">
        <v>2</v>
      </c>
      <c r="E566" s="101" t="s">
        <v>188</v>
      </c>
      <c r="F566" s="100"/>
    </row>
    <row r="567" customFormat="false" ht="15" hidden="false" customHeight="true" outlineLevel="0" collapsed="false">
      <c r="A567" s="98" t="n">
        <v>46104</v>
      </c>
      <c r="B567" s="99" t="s">
        <v>70</v>
      </c>
      <c r="C567" s="100" t="s">
        <v>162</v>
      </c>
      <c r="D567" s="99" t="n">
        <v>12</v>
      </c>
      <c r="E567" s="101" t="s">
        <v>189</v>
      </c>
      <c r="F567" s="100"/>
    </row>
    <row r="568" customFormat="false" ht="15" hidden="false" customHeight="true" outlineLevel="0" collapsed="false">
      <c r="A568" s="98" t="n">
        <v>46104</v>
      </c>
      <c r="B568" s="99" t="s">
        <v>71</v>
      </c>
      <c r="C568" s="100" t="s">
        <v>163</v>
      </c>
      <c r="D568" s="99" t="n">
        <v>1</v>
      </c>
      <c r="E568" s="101" t="s">
        <v>185</v>
      </c>
      <c r="F568" s="100"/>
    </row>
    <row r="569" customFormat="false" ht="15" hidden="false" customHeight="true" outlineLevel="0" collapsed="false">
      <c r="A569" s="98" t="n">
        <v>46104</v>
      </c>
      <c r="B569" s="99" t="s">
        <v>72</v>
      </c>
      <c r="C569" s="100" t="s">
        <v>166</v>
      </c>
      <c r="D569" s="99" t="n">
        <v>4</v>
      </c>
      <c r="E569" s="101" t="s">
        <v>186</v>
      </c>
      <c r="F569" s="100"/>
    </row>
    <row r="570" customFormat="false" ht="15" hidden="false" customHeight="true" outlineLevel="0" collapsed="false">
      <c r="A570" s="98" t="n">
        <v>46104</v>
      </c>
      <c r="B570" s="99" t="s">
        <v>73</v>
      </c>
      <c r="C570" s="100" t="s">
        <v>169</v>
      </c>
      <c r="D570" s="99" t="n">
        <v>2</v>
      </c>
      <c r="E570" s="101" t="s">
        <v>187</v>
      </c>
      <c r="F570" s="100"/>
    </row>
    <row r="571" customFormat="false" ht="15" hidden="false" customHeight="true" outlineLevel="0" collapsed="false">
      <c r="A571" s="98" t="n">
        <v>46105</v>
      </c>
      <c r="B571" s="99" t="s">
        <v>66</v>
      </c>
      <c r="C571" s="100" t="s">
        <v>149</v>
      </c>
      <c r="D571" s="99" t="n">
        <v>4</v>
      </c>
      <c r="E571" s="101" t="s">
        <v>189</v>
      </c>
      <c r="F571" s="100"/>
    </row>
    <row r="572" customFormat="false" ht="15" hidden="false" customHeight="true" outlineLevel="0" collapsed="false">
      <c r="A572" s="98" t="n">
        <v>46105</v>
      </c>
      <c r="B572" s="99" t="s">
        <v>67</v>
      </c>
      <c r="C572" s="100" t="s">
        <v>153</v>
      </c>
      <c r="D572" s="99" t="n">
        <v>2</v>
      </c>
      <c r="E572" s="101" t="s">
        <v>185</v>
      </c>
      <c r="F572" s="100"/>
    </row>
    <row r="573" customFormat="false" ht="15" hidden="false" customHeight="true" outlineLevel="0" collapsed="false">
      <c r="A573" s="98" t="n">
        <v>46105</v>
      </c>
      <c r="B573" s="99" t="s">
        <v>68</v>
      </c>
      <c r="C573" s="100" t="s">
        <v>156</v>
      </c>
      <c r="D573" s="99" t="n">
        <v>7</v>
      </c>
      <c r="E573" s="101" t="s">
        <v>186</v>
      </c>
      <c r="F573" s="100"/>
    </row>
    <row r="574" customFormat="false" ht="15" hidden="false" customHeight="true" outlineLevel="0" collapsed="false">
      <c r="A574" s="98" t="n">
        <v>46105</v>
      </c>
      <c r="B574" s="99" t="s">
        <v>69</v>
      </c>
      <c r="C574" s="100" t="s">
        <v>159</v>
      </c>
      <c r="D574" s="99" t="n">
        <v>1</v>
      </c>
      <c r="E574" s="101" t="s">
        <v>187</v>
      </c>
      <c r="F574" s="100"/>
    </row>
    <row r="575" customFormat="false" ht="15" hidden="false" customHeight="true" outlineLevel="0" collapsed="false">
      <c r="A575" s="98" t="n">
        <v>46105</v>
      </c>
      <c r="B575" s="99" t="s">
        <v>70</v>
      </c>
      <c r="C575" s="100" t="s">
        <v>162</v>
      </c>
      <c r="D575" s="99" t="n">
        <v>11</v>
      </c>
      <c r="E575" s="101" t="s">
        <v>188</v>
      </c>
      <c r="F575" s="100"/>
    </row>
    <row r="576" customFormat="false" ht="15" hidden="false" customHeight="true" outlineLevel="0" collapsed="false">
      <c r="A576" s="98" t="n">
        <v>46105</v>
      </c>
      <c r="B576" s="99" t="s">
        <v>71</v>
      </c>
      <c r="C576" s="100" t="s">
        <v>163</v>
      </c>
      <c r="D576" s="99" t="n">
        <v>0</v>
      </c>
      <c r="E576" s="101" t="s">
        <v>189</v>
      </c>
      <c r="F576" s="100"/>
    </row>
    <row r="577" customFormat="false" ht="15" hidden="false" customHeight="true" outlineLevel="0" collapsed="false">
      <c r="A577" s="98" t="n">
        <v>46105</v>
      </c>
      <c r="B577" s="99" t="s">
        <v>72</v>
      </c>
      <c r="C577" s="100" t="s">
        <v>166</v>
      </c>
      <c r="D577" s="99" t="n">
        <v>3</v>
      </c>
      <c r="E577" s="101" t="s">
        <v>185</v>
      </c>
      <c r="F577" s="100"/>
    </row>
    <row r="578" customFormat="false" ht="15" hidden="false" customHeight="true" outlineLevel="0" collapsed="false">
      <c r="A578" s="98" t="n">
        <v>46105</v>
      </c>
      <c r="B578" s="99" t="s">
        <v>73</v>
      </c>
      <c r="C578" s="100" t="s">
        <v>169</v>
      </c>
      <c r="D578" s="99" t="n">
        <v>1</v>
      </c>
      <c r="E578" s="101" t="s">
        <v>186</v>
      </c>
      <c r="F578" s="100"/>
    </row>
    <row r="579" customFormat="false" ht="15" hidden="false" customHeight="true" outlineLevel="0" collapsed="false">
      <c r="A579" s="98" t="n">
        <v>46106</v>
      </c>
      <c r="B579" s="99" t="s">
        <v>66</v>
      </c>
      <c r="C579" s="100" t="s">
        <v>149</v>
      </c>
      <c r="D579" s="99" t="n">
        <v>6</v>
      </c>
      <c r="E579" s="101" t="s">
        <v>188</v>
      </c>
      <c r="F579" s="100"/>
    </row>
    <row r="580" customFormat="false" ht="15" hidden="false" customHeight="true" outlineLevel="0" collapsed="false">
      <c r="A580" s="98" t="n">
        <v>46106</v>
      </c>
      <c r="B580" s="99" t="s">
        <v>67</v>
      </c>
      <c r="C580" s="100" t="s">
        <v>153</v>
      </c>
      <c r="D580" s="99" t="n">
        <v>4</v>
      </c>
      <c r="E580" s="101" t="s">
        <v>189</v>
      </c>
      <c r="F580" s="100"/>
    </row>
    <row r="581" customFormat="false" ht="15" hidden="false" customHeight="true" outlineLevel="0" collapsed="false">
      <c r="A581" s="98" t="n">
        <v>46106</v>
      </c>
      <c r="B581" s="99" t="s">
        <v>68</v>
      </c>
      <c r="C581" s="100" t="s">
        <v>156</v>
      </c>
      <c r="D581" s="99" t="n">
        <v>9</v>
      </c>
      <c r="E581" s="101" t="s">
        <v>185</v>
      </c>
      <c r="F581" s="100"/>
    </row>
    <row r="582" customFormat="false" ht="15" hidden="false" customHeight="true" outlineLevel="0" collapsed="false">
      <c r="A582" s="98" t="n">
        <v>46106</v>
      </c>
      <c r="B582" s="99" t="s">
        <v>69</v>
      </c>
      <c r="C582" s="100" t="s">
        <v>159</v>
      </c>
      <c r="D582" s="99" t="n">
        <v>3</v>
      </c>
      <c r="E582" s="101" t="s">
        <v>186</v>
      </c>
      <c r="F582" s="100"/>
    </row>
    <row r="583" customFormat="false" ht="15" hidden="false" customHeight="true" outlineLevel="0" collapsed="false">
      <c r="A583" s="98" t="n">
        <v>46106</v>
      </c>
      <c r="B583" s="99" t="s">
        <v>70</v>
      </c>
      <c r="C583" s="100" t="s">
        <v>162</v>
      </c>
      <c r="D583" s="99" t="n">
        <v>13</v>
      </c>
      <c r="E583" s="101" t="s">
        <v>187</v>
      </c>
      <c r="F583" s="100"/>
    </row>
    <row r="584" customFormat="false" ht="15" hidden="false" customHeight="true" outlineLevel="0" collapsed="false">
      <c r="A584" s="98" t="n">
        <v>46106</v>
      </c>
      <c r="B584" s="99" t="s">
        <v>71</v>
      </c>
      <c r="C584" s="100" t="s">
        <v>163</v>
      </c>
      <c r="D584" s="99" t="n">
        <v>2</v>
      </c>
      <c r="E584" s="101" t="s">
        <v>188</v>
      </c>
      <c r="F584" s="100"/>
    </row>
    <row r="585" customFormat="false" ht="15" hidden="false" customHeight="true" outlineLevel="0" collapsed="false">
      <c r="A585" s="98" t="n">
        <v>46106</v>
      </c>
      <c r="B585" s="99" t="s">
        <v>72</v>
      </c>
      <c r="C585" s="100" t="s">
        <v>166</v>
      </c>
      <c r="D585" s="99" t="n">
        <v>5</v>
      </c>
      <c r="E585" s="101" t="s">
        <v>189</v>
      </c>
      <c r="F585" s="100"/>
    </row>
    <row r="586" customFormat="false" ht="15" hidden="false" customHeight="true" outlineLevel="0" collapsed="false">
      <c r="A586" s="98" t="n">
        <v>46106</v>
      </c>
      <c r="B586" s="99" t="s">
        <v>73</v>
      </c>
      <c r="C586" s="100" t="s">
        <v>169</v>
      </c>
      <c r="D586" s="99" t="n">
        <v>3</v>
      </c>
      <c r="E586" s="101" t="s">
        <v>185</v>
      </c>
      <c r="F586" s="100"/>
    </row>
    <row r="587" customFormat="false" ht="15" hidden="false" customHeight="true" outlineLevel="0" collapsed="false">
      <c r="A587" s="98" t="n">
        <v>46107</v>
      </c>
      <c r="B587" s="99" t="s">
        <v>66</v>
      </c>
      <c r="C587" s="100" t="s">
        <v>149</v>
      </c>
      <c r="D587" s="99" t="n">
        <v>5</v>
      </c>
      <c r="E587" s="101" t="s">
        <v>187</v>
      </c>
      <c r="F587" s="100"/>
    </row>
    <row r="588" customFormat="false" ht="15" hidden="false" customHeight="true" outlineLevel="0" collapsed="false">
      <c r="A588" s="98" t="n">
        <v>46107</v>
      </c>
      <c r="B588" s="99" t="s">
        <v>67</v>
      </c>
      <c r="C588" s="100" t="s">
        <v>153</v>
      </c>
      <c r="D588" s="99" t="n">
        <v>3</v>
      </c>
      <c r="E588" s="101" t="s">
        <v>188</v>
      </c>
      <c r="F588" s="100"/>
    </row>
    <row r="589" customFormat="false" ht="15" hidden="false" customHeight="true" outlineLevel="0" collapsed="false">
      <c r="A589" s="98" t="n">
        <v>46107</v>
      </c>
      <c r="B589" s="99" t="s">
        <v>68</v>
      </c>
      <c r="C589" s="100" t="s">
        <v>156</v>
      </c>
      <c r="D589" s="99" t="n">
        <v>8</v>
      </c>
      <c r="E589" s="101" t="s">
        <v>189</v>
      </c>
      <c r="F589" s="100"/>
    </row>
    <row r="590" customFormat="false" ht="15" hidden="false" customHeight="true" outlineLevel="0" collapsed="false">
      <c r="A590" s="98" t="n">
        <v>46107</v>
      </c>
      <c r="B590" s="99" t="s">
        <v>69</v>
      </c>
      <c r="C590" s="100" t="s">
        <v>159</v>
      </c>
      <c r="D590" s="99" t="n">
        <v>2</v>
      </c>
      <c r="E590" s="101" t="s">
        <v>185</v>
      </c>
      <c r="F590" s="100"/>
    </row>
    <row r="591" customFormat="false" ht="15" hidden="false" customHeight="true" outlineLevel="0" collapsed="false">
      <c r="A591" s="98" t="n">
        <v>46107</v>
      </c>
      <c r="B591" s="99" t="s">
        <v>70</v>
      </c>
      <c r="C591" s="100" t="s">
        <v>162</v>
      </c>
      <c r="D591" s="99" t="n">
        <v>12</v>
      </c>
      <c r="E591" s="101" t="s">
        <v>186</v>
      </c>
      <c r="F591" s="100"/>
    </row>
    <row r="592" customFormat="false" ht="15" hidden="false" customHeight="true" outlineLevel="0" collapsed="false">
      <c r="A592" s="98" t="n">
        <v>46107</v>
      </c>
      <c r="B592" s="99" t="s">
        <v>71</v>
      </c>
      <c r="C592" s="100" t="s">
        <v>163</v>
      </c>
      <c r="D592" s="99" t="n">
        <v>1</v>
      </c>
      <c r="E592" s="101" t="s">
        <v>187</v>
      </c>
      <c r="F592" s="100"/>
    </row>
    <row r="593" customFormat="false" ht="15" hidden="false" customHeight="true" outlineLevel="0" collapsed="false">
      <c r="A593" s="98" t="n">
        <v>46107</v>
      </c>
      <c r="B593" s="99" t="s">
        <v>72</v>
      </c>
      <c r="C593" s="100" t="s">
        <v>166</v>
      </c>
      <c r="D593" s="99" t="n">
        <v>4</v>
      </c>
      <c r="E593" s="101" t="s">
        <v>188</v>
      </c>
      <c r="F593" s="100"/>
    </row>
    <row r="594" customFormat="false" ht="15" hidden="false" customHeight="true" outlineLevel="0" collapsed="false">
      <c r="A594" s="98" t="n">
        <v>46107</v>
      </c>
      <c r="B594" s="99" t="s">
        <v>73</v>
      </c>
      <c r="C594" s="100" t="s">
        <v>169</v>
      </c>
      <c r="D594" s="99" t="n">
        <v>2</v>
      </c>
      <c r="E594" s="101" t="s">
        <v>189</v>
      </c>
      <c r="F594" s="100"/>
    </row>
    <row r="595" customFormat="false" ht="15" hidden="false" customHeight="true" outlineLevel="0" collapsed="false">
      <c r="A595" s="98" t="n">
        <v>46108</v>
      </c>
      <c r="B595" s="99" t="s">
        <v>66</v>
      </c>
      <c r="C595" s="100" t="s">
        <v>149</v>
      </c>
      <c r="D595" s="99" t="n">
        <v>4</v>
      </c>
      <c r="E595" s="101" t="s">
        <v>186</v>
      </c>
      <c r="F595" s="100"/>
    </row>
    <row r="596" customFormat="false" ht="15" hidden="false" customHeight="true" outlineLevel="0" collapsed="false">
      <c r="A596" s="98" t="n">
        <v>46108</v>
      </c>
      <c r="B596" s="99" t="s">
        <v>67</v>
      </c>
      <c r="C596" s="100" t="s">
        <v>153</v>
      </c>
      <c r="D596" s="99" t="n">
        <v>2</v>
      </c>
      <c r="E596" s="101" t="s">
        <v>187</v>
      </c>
      <c r="F596" s="100"/>
    </row>
    <row r="597" customFormat="false" ht="15" hidden="false" customHeight="true" outlineLevel="0" collapsed="false">
      <c r="A597" s="98" t="n">
        <v>46108</v>
      </c>
      <c r="B597" s="99" t="s">
        <v>68</v>
      </c>
      <c r="C597" s="100" t="s">
        <v>156</v>
      </c>
      <c r="D597" s="99" t="n">
        <v>7</v>
      </c>
      <c r="E597" s="101" t="s">
        <v>188</v>
      </c>
      <c r="F597" s="100"/>
    </row>
    <row r="598" customFormat="false" ht="15" hidden="false" customHeight="true" outlineLevel="0" collapsed="false">
      <c r="A598" s="98" t="n">
        <v>46108</v>
      </c>
      <c r="B598" s="99" t="s">
        <v>69</v>
      </c>
      <c r="C598" s="100" t="s">
        <v>159</v>
      </c>
      <c r="D598" s="99" t="n">
        <v>1</v>
      </c>
      <c r="E598" s="101" t="s">
        <v>189</v>
      </c>
      <c r="F598" s="100"/>
    </row>
    <row r="599" customFormat="false" ht="15" hidden="false" customHeight="true" outlineLevel="0" collapsed="false">
      <c r="A599" s="98" t="n">
        <v>46108</v>
      </c>
      <c r="B599" s="99" t="s">
        <v>70</v>
      </c>
      <c r="C599" s="100" t="s">
        <v>162</v>
      </c>
      <c r="D599" s="99" t="n">
        <v>11</v>
      </c>
      <c r="E599" s="101" t="s">
        <v>185</v>
      </c>
      <c r="F599" s="100"/>
    </row>
    <row r="600" customFormat="false" ht="15" hidden="false" customHeight="true" outlineLevel="0" collapsed="false">
      <c r="A600" s="98" t="n">
        <v>46108</v>
      </c>
      <c r="B600" s="99" t="s">
        <v>71</v>
      </c>
      <c r="C600" s="100" t="s">
        <v>163</v>
      </c>
      <c r="D600" s="99" t="n">
        <v>0</v>
      </c>
      <c r="E600" s="101" t="s">
        <v>186</v>
      </c>
      <c r="F600" s="100"/>
    </row>
    <row r="601" customFormat="false" ht="15" hidden="false" customHeight="true" outlineLevel="0" collapsed="false">
      <c r="A601" s="98" t="n">
        <v>46108</v>
      </c>
      <c r="B601" s="99" t="s">
        <v>72</v>
      </c>
      <c r="C601" s="100" t="s">
        <v>166</v>
      </c>
      <c r="D601" s="99" t="n">
        <v>3</v>
      </c>
      <c r="E601" s="101" t="s">
        <v>187</v>
      </c>
      <c r="F601" s="100"/>
    </row>
    <row r="602" customFormat="false" ht="15" hidden="false" customHeight="true" outlineLevel="0" collapsed="false">
      <c r="A602" s="98" t="n">
        <v>46108</v>
      </c>
      <c r="B602" s="99" t="s">
        <v>73</v>
      </c>
      <c r="C602" s="100" t="s">
        <v>169</v>
      </c>
      <c r="D602" s="99" t="n">
        <v>1</v>
      </c>
      <c r="E602" s="101" t="s">
        <v>188</v>
      </c>
      <c r="F602" s="100"/>
    </row>
    <row r="603" customFormat="false" ht="15" hidden="false" customHeight="true" outlineLevel="0" collapsed="false">
      <c r="A603" s="98" t="n">
        <v>46109</v>
      </c>
      <c r="B603" s="99" t="s">
        <v>66</v>
      </c>
      <c r="C603" s="100" t="s">
        <v>149</v>
      </c>
      <c r="D603" s="99" t="n">
        <v>6</v>
      </c>
      <c r="E603" s="101" t="s">
        <v>185</v>
      </c>
      <c r="F603" s="100"/>
    </row>
    <row r="604" customFormat="false" ht="15" hidden="false" customHeight="true" outlineLevel="0" collapsed="false">
      <c r="A604" s="98" t="n">
        <v>46109</v>
      </c>
      <c r="B604" s="99" t="s">
        <v>67</v>
      </c>
      <c r="C604" s="100" t="s">
        <v>153</v>
      </c>
      <c r="D604" s="99" t="n">
        <v>4</v>
      </c>
      <c r="E604" s="101" t="s">
        <v>186</v>
      </c>
      <c r="F604" s="100"/>
    </row>
    <row r="605" customFormat="false" ht="15" hidden="false" customHeight="true" outlineLevel="0" collapsed="false">
      <c r="A605" s="98" t="n">
        <v>46109</v>
      </c>
      <c r="B605" s="99" t="s">
        <v>68</v>
      </c>
      <c r="C605" s="100" t="s">
        <v>156</v>
      </c>
      <c r="D605" s="99" t="n">
        <v>9</v>
      </c>
      <c r="E605" s="101" t="s">
        <v>187</v>
      </c>
      <c r="F605" s="100"/>
    </row>
    <row r="606" customFormat="false" ht="15" hidden="false" customHeight="true" outlineLevel="0" collapsed="false">
      <c r="A606" s="98" t="n">
        <v>46109</v>
      </c>
      <c r="B606" s="99" t="s">
        <v>69</v>
      </c>
      <c r="C606" s="100" t="s">
        <v>159</v>
      </c>
      <c r="D606" s="99" t="n">
        <v>3</v>
      </c>
      <c r="E606" s="101" t="s">
        <v>188</v>
      </c>
      <c r="F606" s="100"/>
    </row>
    <row r="607" customFormat="false" ht="15" hidden="false" customHeight="true" outlineLevel="0" collapsed="false">
      <c r="A607" s="98" t="n">
        <v>46109</v>
      </c>
      <c r="B607" s="99" t="s">
        <v>70</v>
      </c>
      <c r="C607" s="100" t="s">
        <v>162</v>
      </c>
      <c r="D607" s="99" t="n">
        <v>13</v>
      </c>
      <c r="E607" s="101" t="s">
        <v>189</v>
      </c>
      <c r="F607" s="100"/>
    </row>
    <row r="608" customFormat="false" ht="15" hidden="false" customHeight="true" outlineLevel="0" collapsed="false">
      <c r="A608" s="98" t="n">
        <v>46109</v>
      </c>
      <c r="B608" s="99" t="s">
        <v>71</v>
      </c>
      <c r="C608" s="100" t="s">
        <v>163</v>
      </c>
      <c r="D608" s="99" t="n">
        <v>2</v>
      </c>
      <c r="E608" s="101" t="s">
        <v>185</v>
      </c>
      <c r="F608" s="100"/>
    </row>
    <row r="609" customFormat="false" ht="15" hidden="false" customHeight="true" outlineLevel="0" collapsed="false">
      <c r="A609" s="98" t="n">
        <v>46109</v>
      </c>
      <c r="B609" s="99" t="s">
        <v>72</v>
      </c>
      <c r="C609" s="100" t="s">
        <v>166</v>
      </c>
      <c r="D609" s="99" t="n">
        <v>5</v>
      </c>
      <c r="E609" s="101" t="s">
        <v>186</v>
      </c>
      <c r="F609" s="100"/>
    </row>
    <row r="610" customFormat="false" ht="15" hidden="false" customHeight="true" outlineLevel="0" collapsed="false">
      <c r="A610" s="98" t="n">
        <v>46109</v>
      </c>
      <c r="B610" s="99" t="s">
        <v>73</v>
      </c>
      <c r="C610" s="100" t="s">
        <v>169</v>
      </c>
      <c r="D610" s="99" t="n">
        <v>3</v>
      </c>
      <c r="E610" s="101" t="s">
        <v>187</v>
      </c>
      <c r="F610" s="100"/>
    </row>
    <row r="611" customFormat="false" ht="15" hidden="false" customHeight="true" outlineLevel="0" collapsed="false">
      <c r="A611" s="98" t="n">
        <v>46110</v>
      </c>
      <c r="B611" s="99" t="s">
        <v>66</v>
      </c>
      <c r="C611" s="100" t="s">
        <v>149</v>
      </c>
      <c r="D611" s="99" t="n">
        <v>5</v>
      </c>
      <c r="E611" s="101" t="s">
        <v>189</v>
      </c>
      <c r="F611" s="100"/>
    </row>
    <row r="612" customFormat="false" ht="15" hidden="false" customHeight="true" outlineLevel="0" collapsed="false">
      <c r="A612" s="98" t="n">
        <v>46110</v>
      </c>
      <c r="B612" s="99" t="s">
        <v>67</v>
      </c>
      <c r="C612" s="100" t="s">
        <v>153</v>
      </c>
      <c r="D612" s="99" t="n">
        <v>3</v>
      </c>
      <c r="E612" s="101" t="s">
        <v>185</v>
      </c>
      <c r="F612" s="100"/>
    </row>
    <row r="613" customFormat="false" ht="15" hidden="false" customHeight="true" outlineLevel="0" collapsed="false">
      <c r="A613" s="98" t="n">
        <v>46110</v>
      </c>
      <c r="B613" s="99" t="s">
        <v>68</v>
      </c>
      <c r="C613" s="100" t="s">
        <v>156</v>
      </c>
      <c r="D613" s="99" t="n">
        <v>8</v>
      </c>
      <c r="E613" s="101" t="s">
        <v>186</v>
      </c>
      <c r="F613" s="100"/>
    </row>
    <row r="614" customFormat="false" ht="15" hidden="false" customHeight="true" outlineLevel="0" collapsed="false">
      <c r="A614" s="98" t="n">
        <v>46110</v>
      </c>
      <c r="B614" s="99" t="s">
        <v>69</v>
      </c>
      <c r="C614" s="100" t="s">
        <v>159</v>
      </c>
      <c r="D614" s="99" t="n">
        <v>2</v>
      </c>
      <c r="E614" s="101" t="s">
        <v>187</v>
      </c>
      <c r="F614" s="100"/>
    </row>
    <row r="615" customFormat="false" ht="15" hidden="false" customHeight="true" outlineLevel="0" collapsed="false">
      <c r="A615" s="98" t="n">
        <v>46110</v>
      </c>
      <c r="B615" s="99" t="s">
        <v>70</v>
      </c>
      <c r="C615" s="100" t="s">
        <v>162</v>
      </c>
      <c r="D615" s="99" t="n">
        <v>12</v>
      </c>
      <c r="E615" s="101" t="s">
        <v>188</v>
      </c>
      <c r="F615" s="100"/>
    </row>
    <row r="616" customFormat="false" ht="15" hidden="false" customHeight="true" outlineLevel="0" collapsed="false">
      <c r="A616" s="98" t="n">
        <v>46110</v>
      </c>
      <c r="B616" s="99" t="s">
        <v>71</v>
      </c>
      <c r="C616" s="100" t="s">
        <v>163</v>
      </c>
      <c r="D616" s="99" t="n">
        <v>1</v>
      </c>
      <c r="E616" s="101" t="s">
        <v>189</v>
      </c>
      <c r="F616" s="100"/>
    </row>
    <row r="617" customFormat="false" ht="15" hidden="false" customHeight="true" outlineLevel="0" collapsed="false">
      <c r="A617" s="98" t="n">
        <v>46110</v>
      </c>
      <c r="B617" s="99" t="s">
        <v>72</v>
      </c>
      <c r="C617" s="100" t="s">
        <v>166</v>
      </c>
      <c r="D617" s="99" t="n">
        <v>4</v>
      </c>
      <c r="E617" s="101" t="s">
        <v>185</v>
      </c>
      <c r="F617" s="100"/>
    </row>
    <row r="618" customFormat="false" ht="15" hidden="false" customHeight="true" outlineLevel="0" collapsed="false">
      <c r="A618" s="98" t="n">
        <v>46110</v>
      </c>
      <c r="B618" s="99" t="s">
        <v>73</v>
      </c>
      <c r="C618" s="100" t="s">
        <v>169</v>
      </c>
      <c r="D618" s="99" t="n">
        <v>2</v>
      </c>
      <c r="E618" s="101" t="s">
        <v>186</v>
      </c>
      <c r="F618" s="100"/>
    </row>
    <row r="619" customFormat="false" ht="15" hidden="false" customHeight="true" outlineLevel="0" collapsed="false">
      <c r="A619" s="98" t="n">
        <v>46111</v>
      </c>
      <c r="B619" s="99" t="s">
        <v>66</v>
      </c>
      <c r="C619" s="100" t="s">
        <v>149</v>
      </c>
      <c r="D619" s="99" t="n">
        <v>4</v>
      </c>
      <c r="E619" s="101" t="s">
        <v>188</v>
      </c>
      <c r="F619" s="100"/>
    </row>
    <row r="620" customFormat="false" ht="15" hidden="false" customHeight="true" outlineLevel="0" collapsed="false">
      <c r="A620" s="98" t="n">
        <v>46111</v>
      </c>
      <c r="B620" s="99" t="s">
        <v>67</v>
      </c>
      <c r="C620" s="100" t="s">
        <v>153</v>
      </c>
      <c r="D620" s="99" t="n">
        <v>2</v>
      </c>
      <c r="E620" s="101" t="s">
        <v>189</v>
      </c>
      <c r="F620" s="100"/>
    </row>
    <row r="621" customFormat="false" ht="15" hidden="false" customHeight="true" outlineLevel="0" collapsed="false">
      <c r="A621" s="98" t="n">
        <v>46111</v>
      </c>
      <c r="B621" s="99" t="s">
        <v>68</v>
      </c>
      <c r="C621" s="100" t="s">
        <v>156</v>
      </c>
      <c r="D621" s="99" t="n">
        <v>7</v>
      </c>
      <c r="E621" s="101" t="s">
        <v>185</v>
      </c>
      <c r="F621" s="100"/>
    </row>
    <row r="622" customFormat="false" ht="15" hidden="false" customHeight="true" outlineLevel="0" collapsed="false">
      <c r="A622" s="98" t="n">
        <v>46111</v>
      </c>
      <c r="B622" s="99" t="s">
        <v>69</v>
      </c>
      <c r="C622" s="100" t="s">
        <v>159</v>
      </c>
      <c r="D622" s="99" t="n">
        <v>1</v>
      </c>
      <c r="E622" s="101" t="s">
        <v>186</v>
      </c>
      <c r="F622" s="100"/>
    </row>
    <row r="623" customFormat="false" ht="15" hidden="false" customHeight="true" outlineLevel="0" collapsed="false">
      <c r="A623" s="98" t="n">
        <v>46111</v>
      </c>
      <c r="B623" s="99" t="s">
        <v>70</v>
      </c>
      <c r="C623" s="100" t="s">
        <v>162</v>
      </c>
      <c r="D623" s="99" t="n">
        <v>11</v>
      </c>
      <c r="E623" s="101" t="s">
        <v>187</v>
      </c>
      <c r="F623" s="100"/>
    </row>
    <row r="624" customFormat="false" ht="15" hidden="false" customHeight="true" outlineLevel="0" collapsed="false">
      <c r="A624" s="98" t="n">
        <v>46111</v>
      </c>
      <c r="B624" s="99" t="s">
        <v>71</v>
      </c>
      <c r="C624" s="100" t="s">
        <v>163</v>
      </c>
      <c r="D624" s="99" t="n">
        <v>0</v>
      </c>
      <c r="E624" s="101" t="s">
        <v>188</v>
      </c>
      <c r="F624" s="100"/>
    </row>
    <row r="625" customFormat="false" ht="15" hidden="false" customHeight="true" outlineLevel="0" collapsed="false">
      <c r="A625" s="98" t="n">
        <v>46111</v>
      </c>
      <c r="B625" s="99" t="s">
        <v>72</v>
      </c>
      <c r="C625" s="100" t="s">
        <v>166</v>
      </c>
      <c r="D625" s="99" t="n">
        <v>3</v>
      </c>
      <c r="E625" s="101" t="s">
        <v>189</v>
      </c>
      <c r="F625" s="100"/>
    </row>
    <row r="626" customFormat="false" ht="15" hidden="false" customHeight="true" outlineLevel="0" collapsed="false">
      <c r="A626" s="98" t="n">
        <v>46111</v>
      </c>
      <c r="B626" s="99" t="s">
        <v>73</v>
      </c>
      <c r="C626" s="100" t="s">
        <v>169</v>
      </c>
      <c r="D626" s="99" t="n">
        <v>1</v>
      </c>
      <c r="E626" s="101" t="s">
        <v>185</v>
      </c>
      <c r="F626" s="100"/>
    </row>
    <row r="627" customFormat="false" ht="15" hidden="false" customHeight="true" outlineLevel="0" collapsed="false">
      <c r="A627" s="98" t="n">
        <v>46112</v>
      </c>
      <c r="B627" s="99" t="s">
        <v>66</v>
      </c>
      <c r="C627" s="100" t="s">
        <v>149</v>
      </c>
      <c r="D627" s="99" t="n">
        <v>6</v>
      </c>
      <c r="E627" s="101" t="s">
        <v>187</v>
      </c>
      <c r="F627" s="100"/>
    </row>
    <row r="628" customFormat="false" ht="15" hidden="false" customHeight="true" outlineLevel="0" collapsed="false">
      <c r="A628" s="98" t="n">
        <v>46112</v>
      </c>
      <c r="B628" s="99" t="s">
        <v>67</v>
      </c>
      <c r="C628" s="100" t="s">
        <v>153</v>
      </c>
      <c r="D628" s="99" t="n">
        <v>4</v>
      </c>
      <c r="E628" s="101" t="s">
        <v>188</v>
      </c>
      <c r="F628" s="100"/>
    </row>
    <row r="629" customFormat="false" ht="15" hidden="false" customHeight="true" outlineLevel="0" collapsed="false">
      <c r="A629" s="98" t="n">
        <v>46112</v>
      </c>
      <c r="B629" s="99" t="s">
        <v>68</v>
      </c>
      <c r="C629" s="100" t="s">
        <v>156</v>
      </c>
      <c r="D629" s="99" t="n">
        <v>9</v>
      </c>
      <c r="E629" s="101" t="s">
        <v>189</v>
      </c>
      <c r="F629" s="100"/>
    </row>
    <row r="630" customFormat="false" ht="15" hidden="false" customHeight="true" outlineLevel="0" collapsed="false">
      <c r="A630" s="98" t="n">
        <v>46112</v>
      </c>
      <c r="B630" s="99" t="s">
        <v>69</v>
      </c>
      <c r="C630" s="100" t="s">
        <v>159</v>
      </c>
      <c r="D630" s="99" t="n">
        <v>3</v>
      </c>
      <c r="E630" s="101" t="s">
        <v>185</v>
      </c>
      <c r="F630" s="100"/>
    </row>
    <row r="631" customFormat="false" ht="15" hidden="false" customHeight="true" outlineLevel="0" collapsed="false">
      <c r="A631" s="98" t="n">
        <v>46112</v>
      </c>
      <c r="B631" s="99" t="s">
        <v>70</v>
      </c>
      <c r="C631" s="100" t="s">
        <v>162</v>
      </c>
      <c r="D631" s="99" t="n">
        <v>13</v>
      </c>
      <c r="E631" s="101" t="s">
        <v>186</v>
      </c>
      <c r="F631" s="100"/>
    </row>
    <row r="632" customFormat="false" ht="15" hidden="false" customHeight="true" outlineLevel="0" collapsed="false">
      <c r="A632" s="98" t="n">
        <v>46112</v>
      </c>
      <c r="B632" s="99" t="s">
        <v>71</v>
      </c>
      <c r="C632" s="100" t="s">
        <v>163</v>
      </c>
      <c r="D632" s="99" t="n">
        <v>2</v>
      </c>
      <c r="E632" s="101" t="s">
        <v>187</v>
      </c>
      <c r="F632" s="100"/>
    </row>
    <row r="633" customFormat="false" ht="15" hidden="false" customHeight="true" outlineLevel="0" collapsed="false">
      <c r="A633" s="98" t="n">
        <v>46112</v>
      </c>
      <c r="B633" s="99" t="s">
        <v>72</v>
      </c>
      <c r="C633" s="100" t="s">
        <v>166</v>
      </c>
      <c r="D633" s="99" t="n">
        <v>5</v>
      </c>
      <c r="E633" s="101" t="s">
        <v>188</v>
      </c>
      <c r="F633" s="100"/>
    </row>
    <row r="634" customFormat="false" ht="15" hidden="false" customHeight="true" outlineLevel="0" collapsed="false">
      <c r="A634" s="98" t="n">
        <v>46112</v>
      </c>
      <c r="B634" s="99" t="s">
        <v>73</v>
      </c>
      <c r="C634" s="100" t="s">
        <v>169</v>
      </c>
      <c r="D634" s="99" t="n">
        <v>3</v>
      </c>
      <c r="E634" s="101" t="s">
        <v>189</v>
      </c>
      <c r="F634" s="100"/>
    </row>
    <row r="635" customFormat="false" ht="15" hidden="false" customHeight="true" outlineLevel="0" collapsed="false">
      <c r="A635" s="98" t="n">
        <v>46113</v>
      </c>
      <c r="B635" s="99" t="s">
        <v>66</v>
      </c>
      <c r="C635" s="100" t="s">
        <v>149</v>
      </c>
      <c r="D635" s="99" t="n">
        <v>5</v>
      </c>
      <c r="E635" s="101" t="s">
        <v>186</v>
      </c>
      <c r="F635" s="100"/>
    </row>
    <row r="636" customFormat="false" ht="15" hidden="false" customHeight="true" outlineLevel="0" collapsed="false">
      <c r="A636" s="98" t="n">
        <v>46113</v>
      </c>
      <c r="B636" s="99" t="s">
        <v>67</v>
      </c>
      <c r="C636" s="100" t="s">
        <v>153</v>
      </c>
      <c r="D636" s="99" t="n">
        <v>3</v>
      </c>
      <c r="E636" s="101" t="s">
        <v>187</v>
      </c>
      <c r="F636" s="100"/>
    </row>
    <row r="637" customFormat="false" ht="15" hidden="false" customHeight="true" outlineLevel="0" collapsed="false">
      <c r="A637" s="98" t="n">
        <v>46113</v>
      </c>
      <c r="B637" s="99" t="s">
        <v>68</v>
      </c>
      <c r="C637" s="100" t="s">
        <v>156</v>
      </c>
      <c r="D637" s="99" t="n">
        <v>8</v>
      </c>
      <c r="E637" s="101" t="s">
        <v>188</v>
      </c>
      <c r="F637" s="100"/>
    </row>
    <row r="638" customFormat="false" ht="15" hidden="false" customHeight="true" outlineLevel="0" collapsed="false">
      <c r="A638" s="98" t="n">
        <v>46113</v>
      </c>
      <c r="B638" s="99" t="s">
        <v>69</v>
      </c>
      <c r="C638" s="100" t="s">
        <v>159</v>
      </c>
      <c r="D638" s="99" t="n">
        <v>2</v>
      </c>
      <c r="E638" s="101" t="s">
        <v>189</v>
      </c>
      <c r="F638" s="100"/>
    </row>
    <row r="639" customFormat="false" ht="15" hidden="false" customHeight="true" outlineLevel="0" collapsed="false">
      <c r="A639" s="98" t="n">
        <v>46113</v>
      </c>
      <c r="B639" s="99" t="s">
        <v>70</v>
      </c>
      <c r="C639" s="100" t="s">
        <v>162</v>
      </c>
      <c r="D639" s="99" t="n">
        <v>12</v>
      </c>
      <c r="E639" s="101" t="s">
        <v>185</v>
      </c>
      <c r="F639" s="100"/>
    </row>
    <row r="640" customFormat="false" ht="15" hidden="false" customHeight="true" outlineLevel="0" collapsed="false">
      <c r="A640" s="98" t="n">
        <v>46113</v>
      </c>
      <c r="B640" s="99" t="s">
        <v>71</v>
      </c>
      <c r="C640" s="100" t="s">
        <v>163</v>
      </c>
      <c r="D640" s="99" t="n">
        <v>1</v>
      </c>
      <c r="E640" s="101" t="s">
        <v>186</v>
      </c>
      <c r="F640" s="100"/>
    </row>
    <row r="641" customFormat="false" ht="15" hidden="false" customHeight="true" outlineLevel="0" collapsed="false">
      <c r="A641" s="98" t="n">
        <v>46113</v>
      </c>
      <c r="B641" s="99" t="s">
        <v>72</v>
      </c>
      <c r="C641" s="100" t="s">
        <v>166</v>
      </c>
      <c r="D641" s="99" t="n">
        <v>4</v>
      </c>
      <c r="E641" s="101" t="s">
        <v>187</v>
      </c>
      <c r="F641" s="100"/>
    </row>
    <row r="642" customFormat="false" ht="15" hidden="false" customHeight="true" outlineLevel="0" collapsed="false">
      <c r="A642" s="98" t="n">
        <v>46113</v>
      </c>
      <c r="B642" s="99" t="s">
        <v>73</v>
      </c>
      <c r="C642" s="100" t="s">
        <v>169</v>
      </c>
      <c r="D642" s="99" t="n">
        <v>2</v>
      </c>
      <c r="E642" s="101" t="s">
        <v>188</v>
      </c>
      <c r="F642" s="100"/>
    </row>
    <row r="643" customFormat="false" ht="15" hidden="false" customHeight="true" outlineLevel="0" collapsed="false">
      <c r="A643" s="98" t="n">
        <v>46114</v>
      </c>
      <c r="B643" s="99" t="s">
        <v>66</v>
      </c>
      <c r="C643" s="100" t="s">
        <v>149</v>
      </c>
      <c r="D643" s="99" t="n">
        <v>4</v>
      </c>
      <c r="E643" s="101" t="s">
        <v>185</v>
      </c>
      <c r="F643" s="100"/>
    </row>
    <row r="644" customFormat="false" ht="15" hidden="false" customHeight="true" outlineLevel="0" collapsed="false">
      <c r="A644" s="98" t="n">
        <v>46114</v>
      </c>
      <c r="B644" s="99" t="s">
        <v>67</v>
      </c>
      <c r="C644" s="100" t="s">
        <v>153</v>
      </c>
      <c r="D644" s="99" t="n">
        <v>2</v>
      </c>
      <c r="E644" s="101" t="s">
        <v>186</v>
      </c>
      <c r="F644" s="100"/>
    </row>
    <row r="645" customFormat="false" ht="15" hidden="false" customHeight="true" outlineLevel="0" collapsed="false">
      <c r="A645" s="98" t="n">
        <v>46114</v>
      </c>
      <c r="B645" s="99" t="s">
        <v>68</v>
      </c>
      <c r="C645" s="100" t="s">
        <v>156</v>
      </c>
      <c r="D645" s="99" t="n">
        <v>7</v>
      </c>
      <c r="E645" s="101" t="s">
        <v>187</v>
      </c>
      <c r="F645" s="100"/>
    </row>
    <row r="646" customFormat="false" ht="15" hidden="false" customHeight="true" outlineLevel="0" collapsed="false">
      <c r="A646" s="98" t="n">
        <v>46114</v>
      </c>
      <c r="B646" s="99" t="s">
        <v>69</v>
      </c>
      <c r="C646" s="100" t="s">
        <v>159</v>
      </c>
      <c r="D646" s="99" t="n">
        <v>1</v>
      </c>
      <c r="E646" s="101" t="s">
        <v>188</v>
      </c>
      <c r="F646" s="100"/>
    </row>
    <row r="647" customFormat="false" ht="15" hidden="false" customHeight="true" outlineLevel="0" collapsed="false">
      <c r="A647" s="98" t="n">
        <v>46114</v>
      </c>
      <c r="B647" s="99" t="s">
        <v>70</v>
      </c>
      <c r="C647" s="100" t="s">
        <v>162</v>
      </c>
      <c r="D647" s="99" t="n">
        <v>11</v>
      </c>
      <c r="E647" s="101" t="s">
        <v>189</v>
      </c>
      <c r="F647" s="100"/>
    </row>
    <row r="648" customFormat="false" ht="15" hidden="false" customHeight="true" outlineLevel="0" collapsed="false">
      <c r="A648" s="98" t="n">
        <v>46114</v>
      </c>
      <c r="B648" s="99" t="s">
        <v>71</v>
      </c>
      <c r="C648" s="100" t="s">
        <v>163</v>
      </c>
      <c r="D648" s="99" t="n">
        <v>0</v>
      </c>
      <c r="E648" s="101" t="s">
        <v>185</v>
      </c>
      <c r="F648" s="100"/>
    </row>
    <row r="649" customFormat="false" ht="15" hidden="false" customHeight="true" outlineLevel="0" collapsed="false">
      <c r="A649" s="98" t="n">
        <v>46114</v>
      </c>
      <c r="B649" s="99" t="s">
        <v>72</v>
      </c>
      <c r="C649" s="100" t="s">
        <v>166</v>
      </c>
      <c r="D649" s="99" t="n">
        <v>3</v>
      </c>
      <c r="E649" s="101" t="s">
        <v>186</v>
      </c>
      <c r="F649" s="100"/>
    </row>
    <row r="650" customFormat="false" ht="15" hidden="false" customHeight="true" outlineLevel="0" collapsed="false">
      <c r="A650" s="98" t="n">
        <v>46114</v>
      </c>
      <c r="B650" s="99" t="s">
        <v>73</v>
      </c>
      <c r="C650" s="100" t="s">
        <v>169</v>
      </c>
      <c r="D650" s="99" t="n">
        <v>1</v>
      </c>
      <c r="E650" s="101" t="s">
        <v>187</v>
      </c>
      <c r="F650" s="100"/>
    </row>
    <row r="651" customFormat="false" ht="15" hidden="false" customHeight="true" outlineLevel="0" collapsed="false">
      <c r="A651" s="98" t="n">
        <v>46115</v>
      </c>
      <c r="B651" s="99" t="s">
        <v>66</v>
      </c>
      <c r="C651" s="100" t="s">
        <v>149</v>
      </c>
      <c r="D651" s="99" t="n">
        <v>6</v>
      </c>
      <c r="E651" s="101" t="s">
        <v>189</v>
      </c>
      <c r="F651" s="100"/>
    </row>
    <row r="652" customFormat="false" ht="15" hidden="false" customHeight="true" outlineLevel="0" collapsed="false">
      <c r="A652" s="98" t="n">
        <v>46115</v>
      </c>
      <c r="B652" s="99" t="s">
        <v>67</v>
      </c>
      <c r="C652" s="100" t="s">
        <v>153</v>
      </c>
      <c r="D652" s="99" t="n">
        <v>4</v>
      </c>
      <c r="E652" s="101" t="s">
        <v>185</v>
      </c>
      <c r="F652" s="100"/>
    </row>
    <row r="653" customFormat="false" ht="15" hidden="false" customHeight="true" outlineLevel="0" collapsed="false">
      <c r="A653" s="98" t="n">
        <v>46115</v>
      </c>
      <c r="B653" s="99" t="s">
        <v>68</v>
      </c>
      <c r="C653" s="100" t="s">
        <v>156</v>
      </c>
      <c r="D653" s="99" t="n">
        <v>9</v>
      </c>
      <c r="E653" s="101" t="s">
        <v>186</v>
      </c>
      <c r="F653" s="100"/>
    </row>
    <row r="654" customFormat="false" ht="15" hidden="false" customHeight="true" outlineLevel="0" collapsed="false">
      <c r="A654" s="98" t="n">
        <v>46115</v>
      </c>
      <c r="B654" s="99" t="s">
        <v>69</v>
      </c>
      <c r="C654" s="100" t="s">
        <v>159</v>
      </c>
      <c r="D654" s="99" t="n">
        <v>3</v>
      </c>
      <c r="E654" s="101" t="s">
        <v>187</v>
      </c>
      <c r="F654" s="100"/>
    </row>
    <row r="655" customFormat="false" ht="15" hidden="false" customHeight="true" outlineLevel="0" collapsed="false">
      <c r="A655" s="98" t="n">
        <v>46115</v>
      </c>
      <c r="B655" s="99" t="s">
        <v>70</v>
      </c>
      <c r="C655" s="100" t="s">
        <v>162</v>
      </c>
      <c r="D655" s="99" t="n">
        <v>13</v>
      </c>
      <c r="E655" s="101" t="s">
        <v>188</v>
      </c>
      <c r="F655" s="100"/>
    </row>
    <row r="656" customFormat="false" ht="15" hidden="false" customHeight="true" outlineLevel="0" collapsed="false">
      <c r="A656" s="98" t="n">
        <v>46115</v>
      </c>
      <c r="B656" s="99" t="s">
        <v>71</v>
      </c>
      <c r="C656" s="100" t="s">
        <v>163</v>
      </c>
      <c r="D656" s="99" t="n">
        <v>2</v>
      </c>
      <c r="E656" s="101" t="s">
        <v>189</v>
      </c>
      <c r="F656" s="100"/>
    </row>
    <row r="657" customFormat="false" ht="15" hidden="false" customHeight="true" outlineLevel="0" collapsed="false">
      <c r="A657" s="98" t="n">
        <v>46115</v>
      </c>
      <c r="B657" s="99" t="s">
        <v>72</v>
      </c>
      <c r="C657" s="100" t="s">
        <v>166</v>
      </c>
      <c r="D657" s="99" t="n">
        <v>5</v>
      </c>
      <c r="E657" s="101" t="s">
        <v>185</v>
      </c>
      <c r="F657" s="100"/>
    </row>
    <row r="658" customFormat="false" ht="15" hidden="false" customHeight="true" outlineLevel="0" collapsed="false">
      <c r="A658" s="98" t="n">
        <v>46115</v>
      </c>
      <c r="B658" s="99" t="s">
        <v>73</v>
      </c>
      <c r="C658" s="100" t="s">
        <v>169</v>
      </c>
      <c r="D658" s="99" t="n">
        <v>3</v>
      </c>
      <c r="E658" s="101" t="s">
        <v>186</v>
      </c>
      <c r="F658" s="100"/>
    </row>
    <row r="659" customFormat="false" ht="15" hidden="false" customHeight="true" outlineLevel="0" collapsed="false">
      <c r="A659" s="98" t="n">
        <v>46116</v>
      </c>
      <c r="B659" s="99" t="s">
        <v>66</v>
      </c>
      <c r="C659" s="100" t="s">
        <v>149</v>
      </c>
      <c r="D659" s="99" t="n">
        <v>5</v>
      </c>
      <c r="E659" s="101" t="s">
        <v>188</v>
      </c>
      <c r="F659" s="100"/>
    </row>
    <row r="660" customFormat="false" ht="15" hidden="false" customHeight="true" outlineLevel="0" collapsed="false">
      <c r="A660" s="98" t="n">
        <v>46116</v>
      </c>
      <c r="B660" s="99" t="s">
        <v>67</v>
      </c>
      <c r="C660" s="100" t="s">
        <v>153</v>
      </c>
      <c r="D660" s="99" t="n">
        <v>3</v>
      </c>
      <c r="E660" s="101" t="s">
        <v>189</v>
      </c>
      <c r="F660" s="100"/>
    </row>
    <row r="661" customFormat="false" ht="15" hidden="false" customHeight="true" outlineLevel="0" collapsed="false">
      <c r="A661" s="98" t="n">
        <v>46116</v>
      </c>
      <c r="B661" s="99" t="s">
        <v>68</v>
      </c>
      <c r="C661" s="100" t="s">
        <v>156</v>
      </c>
      <c r="D661" s="99" t="n">
        <v>8</v>
      </c>
      <c r="E661" s="101" t="s">
        <v>185</v>
      </c>
      <c r="F661" s="100"/>
    </row>
    <row r="662" customFormat="false" ht="15" hidden="false" customHeight="true" outlineLevel="0" collapsed="false">
      <c r="A662" s="98" t="n">
        <v>46116</v>
      </c>
      <c r="B662" s="99" t="s">
        <v>69</v>
      </c>
      <c r="C662" s="100" t="s">
        <v>159</v>
      </c>
      <c r="D662" s="99" t="n">
        <v>2</v>
      </c>
      <c r="E662" s="101" t="s">
        <v>186</v>
      </c>
      <c r="F662" s="100"/>
    </row>
    <row r="663" customFormat="false" ht="15" hidden="false" customHeight="true" outlineLevel="0" collapsed="false">
      <c r="A663" s="98" t="n">
        <v>46116</v>
      </c>
      <c r="B663" s="99" t="s">
        <v>70</v>
      </c>
      <c r="C663" s="100" t="s">
        <v>162</v>
      </c>
      <c r="D663" s="99" t="n">
        <v>12</v>
      </c>
      <c r="E663" s="101" t="s">
        <v>187</v>
      </c>
      <c r="F663" s="100"/>
    </row>
    <row r="664" customFormat="false" ht="15" hidden="false" customHeight="true" outlineLevel="0" collapsed="false">
      <c r="A664" s="98" t="n">
        <v>46116</v>
      </c>
      <c r="B664" s="99" t="s">
        <v>71</v>
      </c>
      <c r="C664" s="100" t="s">
        <v>163</v>
      </c>
      <c r="D664" s="99" t="n">
        <v>1</v>
      </c>
      <c r="E664" s="101" t="s">
        <v>188</v>
      </c>
      <c r="F664" s="100"/>
    </row>
    <row r="665" customFormat="false" ht="15" hidden="false" customHeight="true" outlineLevel="0" collapsed="false">
      <c r="A665" s="98" t="n">
        <v>46116</v>
      </c>
      <c r="B665" s="99" t="s">
        <v>72</v>
      </c>
      <c r="C665" s="100" t="s">
        <v>166</v>
      </c>
      <c r="D665" s="99" t="n">
        <v>4</v>
      </c>
      <c r="E665" s="101" t="s">
        <v>189</v>
      </c>
      <c r="F665" s="100"/>
    </row>
    <row r="666" customFormat="false" ht="15" hidden="false" customHeight="true" outlineLevel="0" collapsed="false">
      <c r="A666" s="98" t="n">
        <v>46116</v>
      </c>
      <c r="B666" s="99" t="s">
        <v>73</v>
      </c>
      <c r="C666" s="100" t="s">
        <v>169</v>
      </c>
      <c r="D666" s="99" t="n">
        <v>2</v>
      </c>
      <c r="E666" s="101" t="s">
        <v>185</v>
      </c>
      <c r="F666" s="100"/>
    </row>
    <row r="667" customFormat="false" ht="15" hidden="false" customHeight="true" outlineLevel="0" collapsed="false">
      <c r="A667" s="98" t="n">
        <v>46117</v>
      </c>
      <c r="B667" s="99" t="s">
        <v>66</v>
      </c>
      <c r="C667" s="100" t="s">
        <v>149</v>
      </c>
      <c r="D667" s="99" t="n">
        <v>4</v>
      </c>
      <c r="E667" s="101" t="s">
        <v>187</v>
      </c>
      <c r="F667" s="100"/>
    </row>
    <row r="668" customFormat="false" ht="15" hidden="false" customHeight="true" outlineLevel="0" collapsed="false">
      <c r="A668" s="98" t="n">
        <v>46117</v>
      </c>
      <c r="B668" s="99" t="s">
        <v>67</v>
      </c>
      <c r="C668" s="100" t="s">
        <v>153</v>
      </c>
      <c r="D668" s="99" t="n">
        <v>2</v>
      </c>
      <c r="E668" s="101" t="s">
        <v>188</v>
      </c>
      <c r="F668" s="100"/>
    </row>
    <row r="669" customFormat="false" ht="15" hidden="false" customHeight="true" outlineLevel="0" collapsed="false">
      <c r="A669" s="98" t="n">
        <v>46117</v>
      </c>
      <c r="B669" s="99" t="s">
        <v>68</v>
      </c>
      <c r="C669" s="100" t="s">
        <v>156</v>
      </c>
      <c r="D669" s="99" t="n">
        <v>7</v>
      </c>
      <c r="E669" s="101" t="s">
        <v>189</v>
      </c>
      <c r="F669" s="100"/>
    </row>
    <row r="670" customFormat="false" ht="15" hidden="false" customHeight="true" outlineLevel="0" collapsed="false">
      <c r="A670" s="98" t="n">
        <v>46117</v>
      </c>
      <c r="B670" s="99" t="s">
        <v>69</v>
      </c>
      <c r="C670" s="100" t="s">
        <v>159</v>
      </c>
      <c r="D670" s="99" t="n">
        <v>1</v>
      </c>
      <c r="E670" s="101" t="s">
        <v>185</v>
      </c>
      <c r="F670" s="100"/>
    </row>
    <row r="671" customFormat="false" ht="15" hidden="false" customHeight="true" outlineLevel="0" collapsed="false">
      <c r="A671" s="98" t="n">
        <v>46117</v>
      </c>
      <c r="B671" s="99" t="s">
        <v>70</v>
      </c>
      <c r="C671" s="100" t="s">
        <v>162</v>
      </c>
      <c r="D671" s="99" t="n">
        <v>11</v>
      </c>
      <c r="E671" s="101" t="s">
        <v>186</v>
      </c>
      <c r="F671" s="100"/>
    </row>
    <row r="672" customFormat="false" ht="15" hidden="false" customHeight="true" outlineLevel="0" collapsed="false">
      <c r="A672" s="98" t="n">
        <v>46117</v>
      </c>
      <c r="B672" s="99" t="s">
        <v>71</v>
      </c>
      <c r="C672" s="100" t="s">
        <v>163</v>
      </c>
      <c r="D672" s="99" t="n">
        <v>0</v>
      </c>
      <c r="E672" s="101" t="s">
        <v>187</v>
      </c>
      <c r="F672" s="100"/>
    </row>
    <row r="673" customFormat="false" ht="15" hidden="false" customHeight="true" outlineLevel="0" collapsed="false">
      <c r="A673" s="98" t="n">
        <v>46117</v>
      </c>
      <c r="B673" s="99" t="s">
        <v>72</v>
      </c>
      <c r="C673" s="100" t="s">
        <v>166</v>
      </c>
      <c r="D673" s="99" t="n">
        <v>3</v>
      </c>
      <c r="E673" s="101" t="s">
        <v>188</v>
      </c>
      <c r="F673" s="100"/>
    </row>
    <row r="674" customFormat="false" ht="15" hidden="false" customHeight="true" outlineLevel="0" collapsed="false">
      <c r="A674" s="98" t="n">
        <v>46117</v>
      </c>
      <c r="B674" s="99" t="s">
        <v>73</v>
      </c>
      <c r="C674" s="100" t="s">
        <v>169</v>
      </c>
      <c r="D674" s="99" t="n">
        <v>1</v>
      </c>
      <c r="E674" s="101" t="s">
        <v>189</v>
      </c>
      <c r="F674" s="100"/>
    </row>
    <row r="675" customFormat="false" ht="15" hidden="false" customHeight="true" outlineLevel="0" collapsed="false">
      <c r="A675" s="98" t="n">
        <v>46118</v>
      </c>
      <c r="B675" s="99" t="s">
        <v>66</v>
      </c>
      <c r="C675" s="100" t="s">
        <v>149</v>
      </c>
      <c r="D675" s="99" t="n">
        <v>6</v>
      </c>
      <c r="E675" s="101" t="s">
        <v>186</v>
      </c>
      <c r="F675" s="100"/>
    </row>
    <row r="676" customFormat="false" ht="15" hidden="false" customHeight="true" outlineLevel="0" collapsed="false">
      <c r="A676" s="98" t="n">
        <v>46118</v>
      </c>
      <c r="B676" s="99" t="s">
        <v>67</v>
      </c>
      <c r="C676" s="100" t="s">
        <v>153</v>
      </c>
      <c r="D676" s="99" t="n">
        <v>4</v>
      </c>
      <c r="E676" s="101" t="s">
        <v>187</v>
      </c>
      <c r="F676" s="100"/>
    </row>
    <row r="677" customFormat="false" ht="15" hidden="false" customHeight="true" outlineLevel="0" collapsed="false">
      <c r="A677" s="98" t="n">
        <v>46118</v>
      </c>
      <c r="B677" s="99" t="s">
        <v>68</v>
      </c>
      <c r="C677" s="100" t="s">
        <v>156</v>
      </c>
      <c r="D677" s="99" t="n">
        <v>9</v>
      </c>
      <c r="E677" s="101" t="s">
        <v>188</v>
      </c>
      <c r="F677" s="100"/>
    </row>
    <row r="678" customFormat="false" ht="15" hidden="false" customHeight="true" outlineLevel="0" collapsed="false">
      <c r="A678" s="98" t="n">
        <v>46118</v>
      </c>
      <c r="B678" s="99" t="s">
        <v>69</v>
      </c>
      <c r="C678" s="100" t="s">
        <v>159</v>
      </c>
      <c r="D678" s="99" t="n">
        <v>3</v>
      </c>
      <c r="E678" s="101" t="s">
        <v>189</v>
      </c>
      <c r="F678" s="100"/>
    </row>
    <row r="679" customFormat="false" ht="15" hidden="false" customHeight="true" outlineLevel="0" collapsed="false">
      <c r="A679" s="98" t="n">
        <v>46118</v>
      </c>
      <c r="B679" s="99" t="s">
        <v>70</v>
      </c>
      <c r="C679" s="100" t="s">
        <v>162</v>
      </c>
      <c r="D679" s="99" t="n">
        <v>13</v>
      </c>
      <c r="E679" s="101" t="s">
        <v>185</v>
      </c>
      <c r="F679" s="100"/>
    </row>
    <row r="680" customFormat="false" ht="15" hidden="false" customHeight="true" outlineLevel="0" collapsed="false">
      <c r="A680" s="98" t="n">
        <v>46118</v>
      </c>
      <c r="B680" s="99" t="s">
        <v>71</v>
      </c>
      <c r="C680" s="100" t="s">
        <v>163</v>
      </c>
      <c r="D680" s="99" t="n">
        <v>2</v>
      </c>
      <c r="E680" s="101" t="s">
        <v>186</v>
      </c>
      <c r="F680" s="100"/>
    </row>
    <row r="681" customFormat="false" ht="15" hidden="false" customHeight="true" outlineLevel="0" collapsed="false">
      <c r="A681" s="98" t="n">
        <v>46118</v>
      </c>
      <c r="B681" s="99" t="s">
        <v>72</v>
      </c>
      <c r="C681" s="100" t="s">
        <v>166</v>
      </c>
      <c r="D681" s="99" t="n">
        <v>5</v>
      </c>
      <c r="E681" s="101" t="s">
        <v>187</v>
      </c>
      <c r="F681" s="100"/>
    </row>
    <row r="682" customFormat="false" ht="15" hidden="false" customHeight="true" outlineLevel="0" collapsed="false">
      <c r="A682" s="98" t="n">
        <v>46118</v>
      </c>
      <c r="B682" s="99" t="s">
        <v>73</v>
      </c>
      <c r="C682" s="100" t="s">
        <v>169</v>
      </c>
      <c r="D682" s="99" t="n">
        <v>3</v>
      </c>
      <c r="E682" s="101" t="s">
        <v>188</v>
      </c>
      <c r="F682" s="100"/>
    </row>
    <row r="683" customFormat="false" ht="15" hidden="false" customHeight="true" outlineLevel="0" collapsed="false">
      <c r="A683" s="98" t="n">
        <v>46119</v>
      </c>
      <c r="B683" s="99" t="s">
        <v>66</v>
      </c>
      <c r="C683" s="100" t="s">
        <v>149</v>
      </c>
      <c r="D683" s="99" t="n">
        <v>5</v>
      </c>
      <c r="E683" s="101" t="s">
        <v>185</v>
      </c>
      <c r="F683" s="100"/>
    </row>
    <row r="684" customFormat="false" ht="15" hidden="false" customHeight="true" outlineLevel="0" collapsed="false">
      <c r="A684" s="98" t="n">
        <v>46119</v>
      </c>
      <c r="B684" s="99" t="s">
        <v>67</v>
      </c>
      <c r="C684" s="100" t="s">
        <v>153</v>
      </c>
      <c r="D684" s="99" t="n">
        <v>3</v>
      </c>
      <c r="E684" s="101" t="s">
        <v>186</v>
      </c>
      <c r="F684" s="100"/>
    </row>
    <row r="685" customFormat="false" ht="15" hidden="false" customHeight="true" outlineLevel="0" collapsed="false">
      <c r="A685" s="98" t="n">
        <v>46119</v>
      </c>
      <c r="B685" s="99" t="s">
        <v>68</v>
      </c>
      <c r="C685" s="100" t="s">
        <v>156</v>
      </c>
      <c r="D685" s="99" t="n">
        <v>8</v>
      </c>
      <c r="E685" s="101" t="s">
        <v>187</v>
      </c>
      <c r="F685" s="100"/>
    </row>
    <row r="686" customFormat="false" ht="15" hidden="false" customHeight="true" outlineLevel="0" collapsed="false">
      <c r="A686" s="98" t="n">
        <v>46119</v>
      </c>
      <c r="B686" s="99" t="s">
        <v>69</v>
      </c>
      <c r="C686" s="100" t="s">
        <v>159</v>
      </c>
      <c r="D686" s="99" t="n">
        <v>2</v>
      </c>
      <c r="E686" s="101" t="s">
        <v>188</v>
      </c>
      <c r="F686" s="100"/>
    </row>
    <row r="687" customFormat="false" ht="15" hidden="false" customHeight="true" outlineLevel="0" collapsed="false">
      <c r="A687" s="98" t="n">
        <v>46119</v>
      </c>
      <c r="B687" s="99" t="s">
        <v>70</v>
      </c>
      <c r="C687" s="100" t="s">
        <v>162</v>
      </c>
      <c r="D687" s="99" t="n">
        <v>12</v>
      </c>
      <c r="E687" s="101" t="s">
        <v>189</v>
      </c>
      <c r="F687" s="100"/>
    </row>
    <row r="688" customFormat="false" ht="15" hidden="false" customHeight="true" outlineLevel="0" collapsed="false">
      <c r="A688" s="98" t="n">
        <v>46119</v>
      </c>
      <c r="B688" s="99" t="s">
        <v>71</v>
      </c>
      <c r="C688" s="100" t="s">
        <v>163</v>
      </c>
      <c r="D688" s="99" t="n">
        <v>1</v>
      </c>
      <c r="E688" s="101" t="s">
        <v>185</v>
      </c>
      <c r="F688" s="100"/>
    </row>
    <row r="689" customFormat="false" ht="15" hidden="false" customHeight="true" outlineLevel="0" collapsed="false">
      <c r="A689" s="98" t="n">
        <v>46119</v>
      </c>
      <c r="B689" s="99" t="s">
        <v>72</v>
      </c>
      <c r="C689" s="100" t="s">
        <v>166</v>
      </c>
      <c r="D689" s="99" t="n">
        <v>4</v>
      </c>
      <c r="E689" s="101" t="s">
        <v>186</v>
      </c>
      <c r="F689" s="100"/>
    </row>
    <row r="690" customFormat="false" ht="15" hidden="false" customHeight="true" outlineLevel="0" collapsed="false">
      <c r="A690" s="98" t="n">
        <v>46119</v>
      </c>
      <c r="B690" s="99" t="s">
        <v>73</v>
      </c>
      <c r="C690" s="100" t="s">
        <v>169</v>
      </c>
      <c r="D690" s="99" t="n">
        <v>2</v>
      </c>
      <c r="E690" s="101" t="s">
        <v>187</v>
      </c>
      <c r="F690" s="100"/>
    </row>
    <row r="691" customFormat="false" ht="15" hidden="false" customHeight="true" outlineLevel="0" collapsed="false">
      <c r="A691" s="98" t="n">
        <v>46120</v>
      </c>
      <c r="B691" s="99" t="s">
        <v>66</v>
      </c>
      <c r="C691" s="100" t="s">
        <v>149</v>
      </c>
      <c r="D691" s="99" t="n">
        <v>4</v>
      </c>
      <c r="E691" s="101" t="s">
        <v>189</v>
      </c>
      <c r="F691" s="100"/>
    </row>
    <row r="692" customFormat="false" ht="15" hidden="false" customHeight="true" outlineLevel="0" collapsed="false">
      <c r="A692" s="98" t="n">
        <v>46120</v>
      </c>
      <c r="B692" s="99" t="s">
        <v>67</v>
      </c>
      <c r="C692" s="100" t="s">
        <v>153</v>
      </c>
      <c r="D692" s="99" t="n">
        <v>2</v>
      </c>
      <c r="E692" s="101" t="s">
        <v>185</v>
      </c>
      <c r="F692" s="100"/>
    </row>
    <row r="693" customFormat="false" ht="15" hidden="false" customHeight="true" outlineLevel="0" collapsed="false">
      <c r="A693" s="98" t="n">
        <v>46120</v>
      </c>
      <c r="B693" s="99" t="s">
        <v>68</v>
      </c>
      <c r="C693" s="100" t="s">
        <v>156</v>
      </c>
      <c r="D693" s="99" t="n">
        <v>7</v>
      </c>
      <c r="E693" s="101" t="s">
        <v>186</v>
      </c>
      <c r="F693" s="100"/>
    </row>
    <row r="694" customFormat="false" ht="15" hidden="false" customHeight="true" outlineLevel="0" collapsed="false">
      <c r="A694" s="98" t="n">
        <v>46120</v>
      </c>
      <c r="B694" s="99" t="s">
        <v>69</v>
      </c>
      <c r="C694" s="100" t="s">
        <v>159</v>
      </c>
      <c r="D694" s="99" t="n">
        <v>1</v>
      </c>
      <c r="E694" s="101" t="s">
        <v>187</v>
      </c>
      <c r="F694" s="100"/>
    </row>
    <row r="695" customFormat="false" ht="15" hidden="false" customHeight="true" outlineLevel="0" collapsed="false">
      <c r="A695" s="98" t="n">
        <v>46120</v>
      </c>
      <c r="B695" s="99" t="s">
        <v>70</v>
      </c>
      <c r="C695" s="100" t="s">
        <v>162</v>
      </c>
      <c r="D695" s="99" t="n">
        <v>11</v>
      </c>
      <c r="E695" s="101" t="s">
        <v>188</v>
      </c>
      <c r="F695" s="100"/>
    </row>
    <row r="696" customFormat="false" ht="15" hidden="false" customHeight="true" outlineLevel="0" collapsed="false">
      <c r="A696" s="98" t="n">
        <v>46120</v>
      </c>
      <c r="B696" s="99" t="s">
        <v>71</v>
      </c>
      <c r="C696" s="100" t="s">
        <v>163</v>
      </c>
      <c r="D696" s="99" t="n">
        <v>0</v>
      </c>
      <c r="E696" s="101" t="s">
        <v>189</v>
      </c>
      <c r="F696" s="100"/>
    </row>
    <row r="697" customFormat="false" ht="15" hidden="false" customHeight="true" outlineLevel="0" collapsed="false">
      <c r="A697" s="98" t="n">
        <v>46120</v>
      </c>
      <c r="B697" s="99" t="s">
        <v>72</v>
      </c>
      <c r="C697" s="100" t="s">
        <v>166</v>
      </c>
      <c r="D697" s="99" t="n">
        <v>3</v>
      </c>
      <c r="E697" s="101" t="s">
        <v>185</v>
      </c>
      <c r="F697" s="100"/>
    </row>
    <row r="698" customFormat="false" ht="15" hidden="false" customHeight="true" outlineLevel="0" collapsed="false">
      <c r="A698" s="98" t="n">
        <v>46120</v>
      </c>
      <c r="B698" s="99" t="s">
        <v>73</v>
      </c>
      <c r="C698" s="100" t="s">
        <v>169</v>
      </c>
      <c r="D698" s="99" t="n">
        <v>1</v>
      </c>
      <c r="E698" s="101" t="s">
        <v>186</v>
      </c>
      <c r="F698" s="100"/>
    </row>
    <row r="699" customFormat="false" ht="15" hidden="false" customHeight="true" outlineLevel="0" collapsed="false">
      <c r="A699" s="98" t="n">
        <v>46121</v>
      </c>
      <c r="B699" s="99" t="s">
        <v>66</v>
      </c>
      <c r="C699" s="100" t="s">
        <v>149</v>
      </c>
      <c r="D699" s="99" t="n">
        <v>6</v>
      </c>
      <c r="E699" s="101" t="s">
        <v>188</v>
      </c>
      <c r="F699" s="100"/>
    </row>
    <row r="700" customFormat="false" ht="15" hidden="false" customHeight="true" outlineLevel="0" collapsed="false">
      <c r="A700" s="98" t="n">
        <v>46121</v>
      </c>
      <c r="B700" s="99" t="s">
        <v>67</v>
      </c>
      <c r="C700" s="100" t="s">
        <v>153</v>
      </c>
      <c r="D700" s="99" t="n">
        <v>4</v>
      </c>
      <c r="E700" s="101" t="s">
        <v>189</v>
      </c>
      <c r="F700" s="100"/>
    </row>
    <row r="701" customFormat="false" ht="15" hidden="false" customHeight="true" outlineLevel="0" collapsed="false">
      <c r="A701" s="98" t="n">
        <v>46121</v>
      </c>
      <c r="B701" s="99" t="s">
        <v>68</v>
      </c>
      <c r="C701" s="100" t="s">
        <v>156</v>
      </c>
      <c r="D701" s="99" t="n">
        <v>9</v>
      </c>
      <c r="E701" s="101" t="s">
        <v>185</v>
      </c>
      <c r="F701" s="100"/>
    </row>
    <row r="702" customFormat="false" ht="15" hidden="false" customHeight="true" outlineLevel="0" collapsed="false">
      <c r="A702" s="98" t="n">
        <v>46121</v>
      </c>
      <c r="B702" s="99" t="s">
        <v>69</v>
      </c>
      <c r="C702" s="100" t="s">
        <v>159</v>
      </c>
      <c r="D702" s="99" t="n">
        <v>3</v>
      </c>
      <c r="E702" s="101" t="s">
        <v>186</v>
      </c>
      <c r="F702" s="100"/>
    </row>
    <row r="703" customFormat="false" ht="15" hidden="false" customHeight="true" outlineLevel="0" collapsed="false">
      <c r="A703" s="98" t="n">
        <v>46121</v>
      </c>
      <c r="B703" s="99" t="s">
        <v>70</v>
      </c>
      <c r="C703" s="100" t="s">
        <v>162</v>
      </c>
      <c r="D703" s="99" t="n">
        <v>13</v>
      </c>
      <c r="E703" s="101" t="s">
        <v>187</v>
      </c>
      <c r="F703" s="100"/>
    </row>
    <row r="704" customFormat="false" ht="15" hidden="false" customHeight="true" outlineLevel="0" collapsed="false">
      <c r="A704" s="98" t="n">
        <v>46121</v>
      </c>
      <c r="B704" s="99" t="s">
        <v>71</v>
      </c>
      <c r="C704" s="100" t="s">
        <v>163</v>
      </c>
      <c r="D704" s="99" t="n">
        <v>2</v>
      </c>
      <c r="E704" s="101" t="s">
        <v>188</v>
      </c>
      <c r="F704" s="100"/>
    </row>
    <row r="705" customFormat="false" ht="15" hidden="false" customHeight="true" outlineLevel="0" collapsed="false">
      <c r="A705" s="98" t="n">
        <v>46121</v>
      </c>
      <c r="B705" s="99" t="s">
        <v>72</v>
      </c>
      <c r="C705" s="100" t="s">
        <v>166</v>
      </c>
      <c r="D705" s="99" t="n">
        <v>5</v>
      </c>
      <c r="E705" s="101" t="s">
        <v>189</v>
      </c>
      <c r="F705" s="100"/>
    </row>
    <row r="706" customFormat="false" ht="15" hidden="false" customHeight="true" outlineLevel="0" collapsed="false">
      <c r="A706" s="98" t="n">
        <v>46121</v>
      </c>
      <c r="B706" s="99" t="s">
        <v>73</v>
      </c>
      <c r="C706" s="100" t="s">
        <v>169</v>
      </c>
      <c r="D706" s="99" t="n">
        <v>3</v>
      </c>
      <c r="E706" s="101" t="s">
        <v>185</v>
      </c>
      <c r="F706" s="100"/>
    </row>
    <row r="707" customFormat="false" ht="15" hidden="false" customHeight="true" outlineLevel="0" collapsed="false">
      <c r="A707" s="98" t="n">
        <v>46122</v>
      </c>
      <c r="B707" s="99" t="s">
        <v>66</v>
      </c>
      <c r="C707" s="100" t="s">
        <v>149</v>
      </c>
      <c r="D707" s="99" t="n">
        <v>5</v>
      </c>
      <c r="E707" s="101" t="s">
        <v>187</v>
      </c>
      <c r="F707" s="100"/>
    </row>
    <row r="708" customFormat="false" ht="15" hidden="false" customHeight="true" outlineLevel="0" collapsed="false">
      <c r="A708" s="98" t="n">
        <v>46122</v>
      </c>
      <c r="B708" s="99" t="s">
        <v>67</v>
      </c>
      <c r="C708" s="100" t="s">
        <v>153</v>
      </c>
      <c r="D708" s="99" t="n">
        <v>3</v>
      </c>
      <c r="E708" s="101" t="s">
        <v>188</v>
      </c>
      <c r="F708" s="100"/>
    </row>
    <row r="709" customFormat="false" ht="15" hidden="false" customHeight="true" outlineLevel="0" collapsed="false">
      <c r="A709" s="98" t="n">
        <v>46122</v>
      </c>
      <c r="B709" s="99" t="s">
        <v>68</v>
      </c>
      <c r="C709" s="100" t="s">
        <v>156</v>
      </c>
      <c r="D709" s="99" t="n">
        <v>8</v>
      </c>
      <c r="E709" s="101" t="s">
        <v>189</v>
      </c>
      <c r="F709" s="100"/>
    </row>
    <row r="710" customFormat="false" ht="15" hidden="false" customHeight="true" outlineLevel="0" collapsed="false">
      <c r="A710" s="98" t="n">
        <v>46122</v>
      </c>
      <c r="B710" s="99" t="s">
        <v>69</v>
      </c>
      <c r="C710" s="100" t="s">
        <v>159</v>
      </c>
      <c r="D710" s="99" t="n">
        <v>2</v>
      </c>
      <c r="E710" s="101" t="s">
        <v>185</v>
      </c>
      <c r="F710" s="100"/>
    </row>
    <row r="711" customFormat="false" ht="15" hidden="false" customHeight="true" outlineLevel="0" collapsed="false">
      <c r="A711" s="98" t="n">
        <v>46122</v>
      </c>
      <c r="B711" s="99" t="s">
        <v>70</v>
      </c>
      <c r="C711" s="100" t="s">
        <v>162</v>
      </c>
      <c r="D711" s="99" t="n">
        <v>12</v>
      </c>
      <c r="E711" s="101" t="s">
        <v>186</v>
      </c>
      <c r="F711" s="100"/>
    </row>
    <row r="712" customFormat="false" ht="15" hidden="false" customHeight="true" outlineLevel="0" collapsed="false">
      <c r="A712" s="98" t="n">
        <v>46122</v>
      </c>
      <c r="B712" s="99" t="s">
        <v>71</v>
      </c>
      <c r="C712" s="100" t="s">
        <v>163</v>
      </c>
      <c r="D712" s="99" t="n">
        <v>1</v>
      </c>
      <c r="E712" s="101" t="s">
        <v>187</v>
      </c>
      <c r="F712" s="100"/>
    </row>
    <row r="713" customFormat="false" ht="15" hidden="false" customHeight="true" outlineLevel="0" collapsed="false">
      <c r="A713" s="98" t="n">
        <v>46122</v>
      </c>
      <c r="B713" s="99" t="s">
        <v>72</v>
      </c>
      <c r="C713" s="100" t="s">
        <v>166</v>
      </c>
      <c r="D713" s="99" t="n">
        <v>4</v>
      </c>
      <c r="E713" s="101" t="s">
        <v>188</v>
      </c>
      <c r="F713" s="100"/>
    </row>
    <row r="714" customFormat="false" ht="15" hidden="false" customHeight="true" outlineLevel="0" collapsed="false">
      <c r="A714" s="98" t="n">
        <v>46122</v>
      </c>
      <c r="B714" s="99" t="s">
        <v>73</v>
      </c>
      <c r="C714" s="100" t="s">
        <v>169</v>
      </c>
      <c r="D714" s="99" t="n">
        <v>2</v>
      </c>
      <c r="E714" s="101" t="s">
        <v>189</v>
      </c>
      <c r="F714" s="100"/>
    </row>
    <row r="715" customFormat="false" ht="15" hidden="false" customHeight="true" outlineLevel="0" collapsed="false">
      <c r="A715" s="98" t="n">
        <v>46123</v>
      </c>
      <c r="B715" s="99" t="s">
        <v>66</v>
      </c>
      <c r="C715" s="100" t="s">
        <v>149</v>
      </c>
      <c r="D715" s="99" t="n">
        <v>4</v>
      </c>
      <c r="E715" s="101" t="s">
        <v>186</v>
      </c>
      <c r="F715" s="100"/>
    </row>
    <row r="716" customFormat="false" ht="15" hidden="false" customHeight="true" outlineLevel="0" collapsed="false">
      <c r="A716" s="98" t="n">
        <v>46123</v>
      </c>
      <c r="B716" s="99" t="s">
        <v>67</v>
      </c>
      <c r="C716" s="100" t="s">
        <v>153</v>
      </c>
      <c r="D716" s="99" t="n">
        <v>2</v>
      </c>
      <c r="E716" s="101" t="s">
        <v>187</v>
      </c>
      <c r="F716" s="100"/>
    </row>
    <row r="717" customFormat="false" ht="15" hidden="false" customHeight="true" outlineLevel="0" collapsed="false">
      <c r="A717" s="98" t="n">
        <v>46123</v>
      </c>
      <c r="B717" s="99" t="s">
        <v>68</v>
      </c>
      <c r="C717" s="100" t="s">
        <v>156</v>
      </c>
      <c r="D717" s="99" t="n">
        <v>7</v>
      </c>
      <c r="E717" s="101" t="s">
        <v>188</v>
      </c>
      <c r="F717" s="100"/>
    </row>
    <row r="718" customFormat="false" ht="15" hidden="false" customHeight="true" outlineLevel="0" collapsed="false">
      <c r="A718" s="98" t="n">
        <v>46123</v>
      </c>
      <c r="B718" s="99" t="s">
        <v>69</v>
      </c>
      <c r="C718" s="100" t="s">
        <v>159</v>
      </c>
      <c r="D718" s="99" t="n">
        <v>1</v>
      </c>
      <c r="E718" s="101" t="s">
        <v>189</v>
      </c>
      <c r="F718" s="100"/>
    </row>
    <row r="719" customFormat="false" ht="15" hidden="false" customHeight="true" outlineLevel="0" collapsed="false">
      <c r="A719" s="98" t="n">
        <v>46123</v>
      </c>
      <c r="B719" s="99" t="s">
        <v>70</v>
      </c>
      <c r="C719" s="100" t="s">
        <v>162</v>
      </c>
      <c r="D719" s="99" t="n">
        <v>11</v>
      </c>
      <c r="E719" s="101" t="s">
        <v>185</v>
      </c>
      <c r="F719" s="100"/>
    </row>
    <row r="720" customFormat="false" ht="15" hidden="false" customHeight="true" outlineLevel="0" collapsed="false">
      <c r="A720" s="98" t="n">
        <v>46123</v>
      </c>
      <c r="B720" s="99" t="s">
        <v>71</v>
      </c>
      <c r="C720" s="100" t="s">
        <v>163</v>
      </c>
      <c r="D720" s="99" t="n">
        <v>0</v>
      </c>
      <c r="E720" s="101" t="s">
        <v>186</v>
      </c>
      <c r="F720" s="100"/>
    </row>
    <row r="721" customFormat="false" ht="15" hidden="false" customHeight="true" outlineLevel="0" collapsed="false">
      <c r="A721" s="98" t="n">
        <v>46123</v>
      </c>
      <c r="B721" s="99" t="s">
        <v>72</v>
      </c>
      <c r="C721" s="100" t="s">
        <v>166</v>
      </c>
      <c r="D721" s="99" t="n">
        <v>3</v>
      </c>
      <c r="E721" s="101" t="s">
        <v>187</v>
      </c>
      <c r="F721" s="100"/>
    </row>
    <row r="722" customFormat="false" ht="15" hidden="false" customHeight="true" outlineLevel="0" collapsed="false">
      <c r="A722" s="98" t="n">
        <v>46123</v>
      </c>
      <c r="B722" s="99" t="s">
        <v>73</v>
      </c>
      <c r="C722" s="100" t="s">
        <v>169</v>
      </c>
      <c r="D722" s="99" t="n">
        <v>1</v>
      </c>
      <c r="E722" s="101" t="s">
        <v>188</v>
      </c>
      <c r="F722" s="100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8F01"/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5" min="3" style="1" width="16"/>
    <col collapsed="false" customWidth="true" hidden="false" outlineLevel="0" max="7" min="6" style="1" width="20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28"/>
  </cols>
  <sheetData>
    <row r="1" customFormat="false" ht="25.5" hidden="false" customHeight="true" outlineLevel="0" collapsed="false">
      <c r="A1" s="2" t="s">
        <v>190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87" t="s">
        <v>137</v>
      </c>
      <c r="B2" s="87" t="s">
        <v>138</v>
      </c>
      <c r="C2" s="87" t="s">
        <v>191</v>
      </c>
      <c r="D2" s="87" t="s">
        <v>192</v>
      </c>
      <c r="E2" s="87" t="s">
        <v>193</v>
      </c>
      <c r="F2" s="87" t="s">
        <v>194</v>
      </c>
      <c r="G2" s="87" t="s">
        <v>195</v>
      </c>
      <c r="H2" s="87" t="s">
        <v>196</v>
      </c>
      <c r="I2" s="87" t="s">
        <v>139</v>
      </c>
      <c r="J2" s="87" t="s">
        <v>103</v>
      </c>
    </row>
    <row r="3" customFormat="false" ht="15" hidden="false" customHeight="true" outlineLevel="0" collapsed="false">
      <c r="A3" s="28" t="s">
        <v>66</v>
      </c>
      <c r="B3" s="102" t="s">
        <v>149</v>
      </c>
      <c r="C3" s="103" t="n">
        <v>45</v>
      </c>
      <c r="D3" s="103" t="n">
        <v>0</v>
      </c>
      <c r="E3" s="103" t="n">
        <v>0</v>
      </c>
      <c r="F3" s="104"/>
      <c r="G3" s="104"/>
      <c r="H3" s="105" t="n">
        <v>46123</v>
      </c>
      <c r="I3" s="33" t="n">
        <f aca="false">IFERROR(VLOOKUP(A3,CONFIG!$A$27:$H$34,3,0),1)</f>
        <v>6</v>
      </c>
      <c r="J3" s="106" t="s">
        <v>197</v>
      </c>
    </row>
    <row r="4" customFormat="false" ht="15" hidden="false" customHeight="true" outlineLevel="0" collapsed="false">
      <c r="A4" s="51" t="s">
        <v>67</v>
      </c>
      <c r="B4" s="107" t="s">
        <v>153</v>
      </c>
      <c r="C4" s="108" t="n">
        <v>180</v>
      </c>
      <c r="D4" s="108" t="n">
        <v>0</v>
      </c>
      <c r="E4" s="108" t="n">
        <v>0</v>
      </c>
      <c r="F4" s="109"/>
      <c r="G4" s="109"/>
      <c r="H4" s="110" t="n">
        <v>46123</v>
      </c>
      <c r="I4" s="55" t="n">
        <f aca="false">IFERROR(VLOOKUP(A4,CONFIG!$A$27:$H$34,3,0),1)</f>
        <v>4</v>
      </c>
      <c r="J4" s="111" t="s">
        <v>198</v>
      </c>
    </row>
    <row r="5" customFormat="false" ht="15" hidden="false" customHeight="true" outlineLevel="0" collapsed="false">
      <c r="A5" s="28" t="s">
        <v>68</v>
      </c>
      <c r="B5" s="102" t="s">
        <v>156</v>
      </c>
      <c r="C5" s="103" t="n">
        <v>150</v>
      </c>
      <c r="D5" s="103" t="n">
        <v>120</v>
      </c>
      <c r="E5" s="103" t="n">
        <v>0</v>
      </c>
      <c r="F5" s="104"/>
      <c r="G5" s="104" t="n">
        <v>46158</v>
      </c>
      <c r="H5" s="105" t="n">
        <v>46123</v>
      </c>
      <c r="I5" s="33" t="n">
        <f aca="false">IFERROR(VLOOKUP(A5,CONFIG!$A$27:$H$34,3,0),1)</f>
        <v>12</v>
      </c>
      <c r="J5" s="106" t="s">
        <v>199</v>
      </c>
    </row>
    <row r="6" customFormat="false" ht="15" hidden="false" customHeight="true" outlineLevel="0" collapsed="false">
      <c r="A6" s="51" t="s">
        <v>69</v>
      </c>
      <c r="B6" s="107" t="s">
        <v>159</v>
      </c>
      <c r="C6" s="108" t="n">
        <v>25</v>
      </c>
      <c r="D6" s="108" t="n">
        <v>0</v>
      </c>
      <c r="E6" s="108" t="n">
        <v>0</v>
      </c>
      <c r="F6" s="109"/>
      <c r="G6" s="109"/>
      <c r="H6" s="110" t="n">
        <v>46123</v>
      </c>
      <c r="I6" s="55" t="n">
        <f aca="false">IFERROR(VLOOKUP(A6,CONFIG!$A$27:$H$34,3,0),1)</f>
        <v>10</v>
      </c>
      <c r="J6" s="111" t="s">
        <v>200</v>
      </c>
    </row>
    <row r="7" customFormat="false" ht="15" hidden="false" customHeight="true" outlineLevel="0" collapsed="false">
      <c r="A7" s="28" t="s">
        <v>70</v>
      </c>
      <c r="B7" s="102" t="s">
        <v>162</v>
      </c>
      <c r="C7" s="103" t="n">
        <v>500</v>
      </c>
      <c r="D7" s="103" t="n">
        <v>200</v>
      </c>
      <c r="E7" s="103" t="n">
        <v>0</v>
      </c>
      <c r="F7" s="104"/>
      <c r="G7" s="104" t="n">
        <v>46143</v>
      </c>
      <c r="H7" s="105" t="n">
        <v>46123</v>
      </c>
      <c r="I7" s="33" t="n">
        <f aca="false">IFERROR(VLOOKUP(A7,CONFIG!$A$27:$H$34,3,0),1)</f>
        <v>24</v>
      </c>
      <c r="J7" s="106" t="s">
        <v>201</v>
      </c>
    </row>
    <row r="8" customFormat="false" ht="15" hidden="false" customHeight="true" outlineLevel="0" collapsed="false">
      <c r="A8" s="51" t="s">
        <v>71</v>
      </c>
      <c r="B8" s="107" t="s">
        <v>163</v>
      </c>
      <c r="C8" s="108" t="n">
        <v>8</v>
      </c>
      <c r="D8" s="108" t="n">
        <v>0</v>
      </c>
      <c r="E8" s="108" t="n">
        <v>10</v>
      </c>
      <c r="F8" s="109" t="n">
        <v>46127</v>
      </c>
      <c r="G8" s="109"/>
      <c r="H8" s="110" t="n">
        <v>46123</v>
      </c>
      <c r="I8" s="55" t="n">
        <f aca="false">IFERROR(VLOOKUP(A8,CONFIG!$A$27:$H$34,3,0),1)</f>
        <v>2</v>
      </c>
      <c r="J8" s="111" t="s">
        <v>202</v>
      </c>
    </row>
    <row r="9" customFormat="false" ht="15" hidden="false" customHeight="true" outlineLevel="0" collapsed="false">
      <c r="A9" s="28" t="s">
        <v>72</v>
      </c>
      <c r="B9" s="102" t="s">
        <v>166</v>
      </c>
      <c r="C9" s="103" t="n">
        <v>60</v>
      </c>
      <c r="D9" s="103" t="n">
        <v>0</v>
      </c>
      <c r="E9" s="103" t="n">
        <v>0</v>
      </c>
      <c r="F9" s="104"/>
      <c r="G9" s="104"/>
      <c r="H9" s="105" t="n">
        <v>46123</v>
      </c>
      <c r="I9" s="33" t="n">
        <f aca="false">IFERROR(VLOOKUP(A9,CONFIG!$A$27:$H$34,3,0),1)</f>
        <v>6</v>
      </c>
      <c r="J9" s="106" t="s">
        <v>203</v>
      </c>
    </row>
    <row r="10" customFormat="false" ht="15" hidden="false" customHeight="true" outlineLevel="0" collapsed="false">
      <c r="A10" s="51" t="s">
        <v>73</v>
      </c>
      <c r="B10" s="107" t="s">
        <v>169</v>
      </c>
      <c r="C10" s="108" t="n">
        <v>45</v>
      </c>
      <c r="D10" s="108" t="n">
        <v>0</v>
      </c>
      <c r="E10" s="108" t="n">
        <v>0</v>
      </c>
      <c r="F10" s="109"/>
      <c r="G10" s="109"/>
      <c r="H10" s="110" t="n">
        <v>46123</v>
      </c>
      <c r="I10" s="55" t="n">
        <f aca="false">IFERROR(VLOOKUP(A10,CONFIG!$A$27:$H$34,3,0),1)</f>
        <v>4</v>
      </c>
      <c r="J10" s="111" t="s">
        <v>204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3E1D"/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8" min="7" style="1" width="20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2" min="11" style="1" width="18"/>
  </cols>
  <sheetData>
    <row r="1" customFormat="false" ht="25.5" hidden="false" customHeight="true" outlineLevel="0" collapsed="false">
      <c r="A1" s="2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87" t="s">
        <v>206</v>
      </c>
      <c r="B2" s="87" t="s">
        <v>137</v>
      </c>
      <c r="C2" s="87" t="s">
        <v>138</v>
      </c>
      <c r="D2" s="87" t="s">
        <v>207</v>
      </c>
      <c r="E2" s="87" t="s">
        <v>208</v>
      </c>
      <c r="F2" s="87" t="s">
        <v>209</v>
      </c>
      <c r="G2" s="87" t="s">
        <v>210</v>
      </c>
      <c r="H2" s="87" t="s">
        <v>211</v>
      </c>
      <c r="I2" s="87" t="s">
        <v>212</v>
      </c>
      <c r="J2" s="87" t="s">
        <v>213</v>
      </c>
      <c r="K2" s="87" t="s">
        <v>214</v>
      </c>
      <c r="L2" s="87" t="s">
        <v>215</v>
      </c>
    </row>
    <row r="3" customFormat="false" ht="15" hidden="false" customHeight="true" outlineLevel="0" collapsed="false">
      <c r="A3" s="28" t="s">
        <v>216</v>
      </c>
      <c r="B3" s="28" t="s">
        <v>66</v>
      </c>
      <c r="C3" s="29" t="str">
        <f aca="false">IFERROR(VLOOKUP(B3,CONFIG!$A$27:$H$34,2,0),"")</f>
        <v>Wireless Earbuds</v>
      </c>
      <c r="D3" s="103" t="n">
        <v>120</v>
      </c>
      <c r="E3" s="34" t="n">
        <f aca="false">IFERROR(D3/VLOOKUP(B3,CONFIG!$A$27:$H$34,3,0),0)</f>
        <v>20</v>
      </c>
      <c r="F3" s="104" t="n">
        <v>46103</v>
      </c>
      <c r="G3" s="112" t="n">
        <f aca="false">F3+CONFIG!$B$4</f>
        <v>46133</v>
      </c>
      <c r="H3" s="112" t="n">
        <f aca="false">G3+CONFIG!$B$5</f>
        <v>46140</v>
      </c>
      <c r="I3" s="112" t="n">
        <f aca="false">H3+CONFIG!$B$6</f>
        <v>46168</v>
      </c>
      <c r="J3" s="112" t="n">
        <f aca="false">I3+CONFIG!$B$7</f>
        <v>46173</v>
      </c>
      <c r="K3" s="112" t="n">
        <f aca="false">J3+CONFIG!$B$8</f>
        <v>46175</v>
      </c>
      <c r="L3" s="88" t="str">
        <f aca="true">IF(K3&lt;TODAY(),"Received",IF(J3&lt;TODAY(),"At Warehouse",IF(I3&lt;TODAY(),"Port to Warehouse",IF(H3&lt;TODAY(),"Ocean Transit",IF(G3&lt;TODAY(),"Origin Port","In Production")))))</f>
        <v>In Production</v>
      </c>
    </row>
    <row r="4" customFormat="false" ht="15" hidden="false" customHeight="true" outlineLevel="0" collapsed="false">
      <c r="A4" s="51" t="s">
        <v>217</v>
      </c>
      <c r="B4" s="51" t="s">
        <v>69</v>
      </c>
      <c r="C4" s="52" t="str">
        <f aca="false">IFERROR(VLOOKUP(B4,CONFIG!$A$27:$H$34,2,0),"")</f>
        <v>Yoga Mat</v>
      </c>
      <c r="D4" s="108" t="n">
        <v>30</v>
      </c>
      <c r="E4" s="34" t="n">
        <f aca="false">IFERROR(D4/VLOOKUP(B4,CONFIG!$A$27:$H$34,3,0),0)</f>
        <v>3</v>
      </c>
      <c r="F4" s="109" t="n">
        <v>46078</v>
      </c>
      <c r="G4" s="112" t="n">
        <f aca="false">F4+CONFIG!$B$4</f>
        <v>46108</v>
      </c>
      <c r="H4" s="112" t="n">
        <f aca="false">G4+CONFIG!$B$5</f>
        <v>46115</v>
      </c>
      <c r="I4" s="112" t="n">
        <f aca="false">H4+CONFIG!$B$6</f>
        <v>46143</v>
      </c>
      <c r="J4" s="112" t="n">
        <f aca="false">I4+CONFIG!$B$7</f>
        <v>46148</v>
      </c>
      <c r="K4" s="112" t="n">
        <f aca="false">J4+CONFIG!$B$8</f>
        <v>46150</v>
      </c>
      <c r="L4" s="92" t="str">
        <f aca="true">IF(K4&lt;TODAY(),"Received",IF(J4&lt;TODAY(),"At Warehouse",IF(I4&lt;TODAY(),"Port to Warehouse",IF(H4&lt;TODAY(),"Ocean Transit",IF(G4&lt;TODAY(),"Origin Port","In Production")))))</f>
        <v>Ocean Transit</v>
      </c>
    </row>
    <row r="5" customFormat="false" ht="15" hidden="false" customHeight="true" outlineLevel="0" collapsed="false">
      <c r="A5" s="28" t="s">
        <v>218</v>
      </c>
      <c r="B5" s="28" t="s">
        <v>71</v>
      </c>
      <c r="C5" s="29" t="str">
        <f aca="false">IFERROR(VLOOKUP(B5,CONFIG!$A$27:$H$34,2,0),"")</f>
        <v>Backpack</v>
      </c>
      <c r="D5" s="103" t="n">
        <v>10</v>
      </c>
      <c r="E5" s="34" t="n">
        <f aca="false">IFERROR(D5/VLOOKUP(B5,CONFIG!$A$27:$H$34,3,0),0)</f>
        <v>5</v>
      </c>
      <c r="F5" s="104" t="n">
        <v>46055</v>
      </c>
      <c r="G5" s="112" t="n">
        <f aca="false">F5+CONFIG!$B$4</f>
        <v>46085</v>
      </c>
      <c r="H5" s="112" t="n">
        <f aca="false">G5+CONFIG!$B$5</f>
        <v>46092</v>
      </c>
      <c r="I5" s="112" t="n">
        <f aca="false">H5+CONFIG!$B$6</f>
        <v>46120</v>
      </c>
      <c r="J5" s="112" t="n">
        <f aca="false">I5+CONFIG!$B$7</f>
        <v>46125</v>
      </c>
      <c r="K5" s="112" t="n">
        <f aca="false">J5+CONFIG!$B$8</f>
        <v>46127</v>
      </c>
      <c r="L5" s="88" t="str">
        <f aca="true">IF(K5&lt;TODAY(),"Received",IF(J5&lt;TODAY(),"At Warehouse",IF(I5&lt;TODAY(),"Port to Warehouse",IF(H5&lt;TODAY(),"Ocean Transit",IF(G5&lt;TODAY(),"Origin Port","In Production")))))</f>
        <v>Port to Warehouse</v>
      </c>
    </row>
    <row r="6" customFormat="false" ht="15" hidden="false" customHeight="true" outlineLevel="0" collapsed="false">
      <c r="A6" s="51" t="s">
        <v>219</v>
      </c>
      <c r="B6" s="51" t="s">
        <v>73</v>
      </c>
      <c r="C6" s="52" t="str">
        <f aca="false">IFERROR(VLOOKUP(B6,CONFIG!$A$27:$H$34,2,0),"")</f>
        <v>Laptop Stand</v>
      </c>
      <c r="D6" s="108" t="n">
        <v>32</v>
      </c>
      <c r="E6" s="34" t="n">
        <f aca="false">IFERROR(D6/VLOOKUP(B6,CONFIG!$A$27:$H$34,3,0),0)</f>
        <v>8</v>
      </c>
      <c r="F6" s="109" t="n">
        <v>46052</v>
      </c>
      <c r="G6" s="112" t="n">
        <f aca="false">F6+CONFIG!$B$4</f>
        <v>46082</v>
      </c>
      <c r="H6" s="112" t="n">
        <f aca="false">G6+CONFIG!$B$5</f>
        <v>46089</v>
      </c>
      <c r="I6" s="112" t="n">
        <f aca="false">H6+CONFIG!$B$6</f>
        <v>46117</v>
      </c>
      <c r="J6" s="112" t="n">
        <f aca="false">I6+CONFIG!$B$7</f>
        <v>46122</v>
      </c>
      <c r="K6" s="112" t="n">
        <f aca="false">J6+CONFIG!$B$8</f>
        <v>46124</v>
      </c>
      <c r="L6" s="92" t="str">
        <f aca="true">IF(K6&lt;TODAY(),"Received",IF(J6&lt;TODAY(),"At Warehouse",IF(I6&lt;TODAY(),"Port to Warehouse",IF(H6&lt;TODAY(),"Ocean Transit",IF(G6&lt;TODAY(),"Origin Port","In Production")))))</f>
        <v>At Warehouse</v>
      </c>
    </row>
    <row r="7" customFormat="false" ht="15" hidden="false" customHeight="true" outlineLevel="0" collapsed="false">
      <c r="A7" s="28" t="s">
        <v>220</v>
      </c>
      <c r="B7" s="28" t="s">
        <v>67</v>
      </c>
      <c r="C7" s="29" t="str">
        <f aca="false">IFERROR(VLOOKUP(B7,CONFIG!$A$27:$H$34,2,0),"")</f>
        <v>Running Shoes</v>
      </c>
      <c r="D7" s="103" t="n">
        <v>80</v>
      </c>
      <c r="E7" s="34" t="n">
        <f aca="false">IFERROR(D7/VLOOKUP(B7,CONFIG!$A$27:$H$34,3,0),0)</f>
        <v>20</v>
      </c>
      <c r="F7" s="104" t="n">
        <v>46043</v>
      </c>
      <c r="G7" s="112" t="n">
        <f aca="false">F7+CONFIG!$B$4</f>
        <v>46073</v>
      </c>
      <c r="H7" s="112" t="n">
        <f aca="false">G7+CONFIG!$B$5</f>
        <v>46080</v>
      </c>
      <c r="I7" s="112" t="n">
        <f aca="false">H7+CONFIG!$B$6</f>
        <v>46108</v>
      </c>
      <c r="J7" s="112" t="n">
        <f aca="false">I7+CONFIG!$B$7</f>
        <v>46113</v>
      </c>
      <c r="K7" s="112" t="n">
        <f aca="false">J7+CONFIG!$B$8</f>
        <v>46115</v>
      </c>
      <c r="L7" s="88" t="str">
        <f aca="true">IF(K7&lt;TODAY(),"Received",IF(J7&lt;TODAY(),"At Warehouse",IF(I7&lt;TODAY(),"Port to Warehouse",IF(H7&lt;TODAY(),"Ocean Transit",IF(G7&lt;TODAY(),"Origin Port","In Production")))))</f>
        <v>Received</v>
      </c>
    </row>
    <row r="8" customFormat="false" ht="15" hidden="false" customHeight="true" outlineLevel="0" collapsed="false">
      <c r="A8" s="51" t="s">
        <v>221</v>
      </c>
      <c r="B8" s="51" t="s">
        <v>72</v>
      </c>
      <c r="C8" s="52" t="str">
        <f aca="false">IFERROR(VLOOKUP(B8,CONFIG!$A$27:$H$34,2,0),"")</f>
        <v>Sunglasses</v>
      </c>
      <c r="D8" s="108" t="n">
        <v>60</v>
      </c>
      <c r="E8" s="34" t="n">
        <f aca="false">IFERROR(D8/VLOOKUP(B8,CONFIG!$A$27:$H$34,3,0),0)</f>
        <v>10</v>
      </c>
      <c r="F8" s="109" t="n">
        <v>46113</v>
      </c>
      <c r="G8" s="112" t="n">
        <f aca="false">F8+CONFIG!$B$4</f>
        <v>46143</v>
      </c>
      <c r="H8" s="112" t="n">
        <f aca="false">G8+CONFIG!$B$5</f>
        <v>46150</v>
      </c>
      <c r="I8" s="112" t="n">
        <f aca="false">H8+CONFIG!$B$6</f>
        <v>46178</v>
      </c>
      <c r="J8" s="112" t="n">
        <f aca="false">I8+CONFIG!$B$7</f>
        <v>46183</v>
      </c>
      <c r="K8" s="112" t="n">
        <f aca="false">J8+CONFIG!$B$8</f>
        <v>46185</v>
      </c>
      <c r="L8" s="92" t="str">
        <f aca="true">IF(K8&lt;TODAY(),"Received",IF(J8&lt;TODAY(),"At Warehouse",IF(I8&lt;TODAY(),"Port to Warehouse",IF(H8&lt;TODAY(),"Ocean Transit",IF(G8&lt;TODAY(),"Origin Port","In Production")))))</f>
        <v>In Production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2026-04-11T07:10:38Z</dcterms:created>
  <dc:creator>openpyxl</dc:creator>
  <dc:description/>
  <dc:language>en-US</dc:language>
  <cp:lastModifiedBy/>
  <dcterms:modified xsi:type="dcterms:W3CDTF">2026-04-11T13:22:29Z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